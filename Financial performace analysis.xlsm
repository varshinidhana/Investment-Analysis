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trlProps/ctrlProp1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tha\Documents\"/>
    </mc:Choice>
  </mc:AlternateContent>
  <xr:revisionPtr revIDLastSave="0" documentId="13_ncr:1_{67A30FB2-1FA6-4A0E-A4D3-EF77EB52AF55}" xr6:coauthVersionLast="47" xr6:coauthVersionMax="47" xr10:uidLastSave="{00000000-0000-0000-0000-000000000000}"/>
  <bookViews>
    <workbookView xWindow="-110" yWindow="-110" windowWidth="19420" windowHeight="11020" firstSheet="2" activeTab="6" xr2:uid="{54CF5DAD-A5AB-4B32-9441-3C0F1A4F2263}"/>
  </bookViews>
  <sheets>
    <sheet name="Homepage" sheetId="11" r:id="rId1"/>
    <sheet name="Balance Sheet" sheetId="1" r:id="rId2"/>
    <sheet name="P&amp;L" sheetId="2" r:id="rId3"/>
    <sheet name="Stock Data" sheetId="5" r:id="rId4"/>
    <sheet name="Descriptive" sheetId="4" r:id="rId5"/>
    <sheet name="Correlation &amp; Regression" sheetId="7" r:id="rId6"/>
    <sheet name="Forecasting of Sales" sheetId="8" r:id="rId7"/>
    <sheet name="Competitor Analysis" sheetId="10" r:id="rId8"/>
    <sheet name="Forecasting of Profits" sheetId="9" r:id="rId9"/>
    <sheet name="Dashboard" sheetId="12" r:id="rId10"/>
    <sheet name="Workings" sheetId="14" r:id="rId11"/>
  </sheets>
  <definedNames>
    <definedName name="_xlchart.v1.0" hidden="1">Workings!$G$33:$G$37</definedName>
    <definedName name="_xlchart.v1.1" hidden="1">Workings!$H$33:$H$37</definedName>
    <definedName name="_xlchart.v1.2" hidden="1">Workings!$G$30:$H$30</definedName>
    <definedName name="_xlchart.v1.3" hidden="1">Workings!$G$31:$H$31</definedName>
    <definedName name="ExternalData_1" localSheetId="3" hidden="1">'Stock Data'!$B$2:$C$8</definedName>
    <definedName name="ExternalData_2" localSheetId="3" hidden="1">'Stock Data'!$E$2:$F$8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 2  2_38feb51d-d479-4ae4-a7af-baa366628d33" name="Table 2  2" connection="Query - Table 2 (2)"/>
          <x15:modelTable id="Table 3  2_9028df16-a23e-40bf-82fd-71bdc092d0a6" name="Table 3  2" connection="Query - Table 3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14" l="1"/>
  <c r="G35" i="14"/>
  <c r="G34" i="14"/>
  <c r="G33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D35" i="14"/>
  <c r="D34" i="14"/>
  <c r="D33" i="14"/>
  <c r="J28" i="12" s="1"/>
  <c r="D32" i="14"/>
  <c r="F28" i="12" s="1"/>
  <c r="D31" i="14"/>
  <c r="J15" i="12" s="1"/>
  <c r="D30" i="14"/>
  <c r="F15" i="12" s="1"/>
  <c r="D29" i="14"/>
  <c r="H36" i="14" s="1"/>
  <c r="D28" i="14"/>
  <c r="H35" i="14" s="1"/>
  <c r="D27" i="14"/>
  <c r="D26" i="14"/>
  <c r="D25" i="14"/>
  <c r="H34" i="14" s="1"/>
  <c r="D24" i="14"/>
  <c r="G31" i="14" s="1"/>
  <c r="D23" i="14"/>
  <c r="D22" i="14"/>
  <c r="O18" i="7"/>
  <c r="P18" i="7" s="1"/>
  <c r="O22" i="7"/>
  <c r="P22" i="7" s="1"/>
  <c r="O21" i="7"/>
  <c r="P21" i="7" s="1"/>
  <c r="O20" i="7"/>
  <c r="P20" i="7" s="1"/>
  <c r="O19" i="7"/>
  <c r="P19" i="7" s="1"/>
  <c r="B22" i="7"/>
  <c r="C22" i="7" s="1"/>
  <c r="B21" i="7"/>
  <c r="C21" i="7" s="1"/>
  <c r="B20" i="7"/>
  <c r="C20" i="7" s="1"/>
  <c r="B19" i="7"/>
  <c r="C19" i="7" s="1"/>
  <c r="B18" i="7"/>
  <c r="C18" i="7" s="1"/>
  <c r="O14" i="7"/>
  <c r="B14" i="7"/>
  <c r="O13" i="7"/>
  <c r="P13" i="7"/>
  <c r="C13" i="7"/>
  <c r="B13" i="7"/>
  <c r="C11" i="9"/>
  <c r="C8" i="9"/>
  <c r="C7" i="9"/>
  <c r="C9" i="9"/>
  <c r="C8" i="8"/>
  <c r="C10" i="9"/>
  <c r="C7" i="8"/>
  <c r="C11" i="8"/>
  <c r="C9" i="8"/>
  <c r="C10" i="8"/>
  <c r="H31" i="14" l="1"/>
  <c r="H33" i="14"/>
  <c r="H37" i="14" s="1"/>
  <c r="E10" i="8"/>
  <c r="D10" i="8"/>
  <c r="D10" i="9"/>
  <c r="D9" i="8"/>
  <c r="D7" i="8"/>
  <c r="E7" i="8"/>
  <c r="D8" i="9"/>
  <c r="E9" i="9"/>
  <c r="E9" i="8"/>
  <c r="E8" i="9"/>
  <c r="D11" i="8"/>
  <c r="D7" i="9"/>
  <c r="E11" i="8"/>
  <c r="E10" i="9"/>
  <c r="E8" i="8"/>
  <c r="D9" i="9"/>
  <c r="D8" i="8"/>
  <c r="E11" i="9"/>
  <c r="E7" i="9"/>
  <c r="D11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5F061B-044A-4CB4-9994-709D141B36EF}" keepAlive="1" name="ModelConnection_ExternalData_1" description="Data Model" type="5" refreshedVersion="8" minRefreshableVersion="5" saveData="1">
    <dbPr connection="Data Model Connection" command="Table 2  2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1FECB60-39FE-4E20-BE7C-AC428E48B4C5}" keepAlive="1" name="ModelConnection_ExternalData_2" description="Data Model" type="5" refreshedVersion="8" minRefreshableVersion="5" saveData="1">
    <dbPr connection="Data Model Connection" command="Table 3  2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DE4B355C-182A-4E38-A3B6-8FA4D0942A6F}" name="Query - Table 2 (2)" description="Connection to the 'Table 2 (2)' query in the workbook." type="100" refreshedVersion="8" minRefreshableVersion="5">
    <extLst>
      <ext xmlns:x15="http://schemas.microsoft.com/office/spreadsheetml/2010/11/main" uri="{DE250136-89BD-433C-8126-D09CA5730AF9}">
        <x15:connection id="37706d1b-71f2-4f52-a302-0eb73b0e6584"/>
      </ext>
    </extLst>
  </connection>
  <connection id="4" xr16:uid="{005E97E0-19EE-4858-928C-7CC93407AD04}" name="Query - Table 3 (2)" description="Connection to the 'Table 3 (2)' query in the workbook." type="100" refreshedVersion="8" minRefreshableVersion="5">
    <extLst>
      <ext xmlns:x15="http://schemas.microsoft.com/office/spreadsheetml/2010/11/main" uri="{DE250136-89BD-433C-8126-D09CA5730AF9}">
        <x15:connection id="a8f9e2b5-1880-4659-ab24-75adfbdecad5"/>
      </ext>
    </extLst>
  </connection>
  <connection id="5" xr16:uid="{EBF17C70-51B5-45BB-B29B-ADF99BF6633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<sst xmlns="http://schemas.openxmlformats.org/spreadsheetml/2006/main" count="363" uniqueCount="182">
  <si>
    <t>BALANCE SHEET OF RELIANCE INDUSTRIES (in Rs. Cr.)</t>
  </si>
  <si>
    <t xml:space="preserve"> </t>
  </si>
  <si>
    <t>12 mths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</si>
  <si>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</si>
  <si>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</si>
  <si>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</si>
  <si>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</si>
  <si>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</si>
  <si>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</si>
  <si>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</si>
  <si>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</si>
  <si>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</si>
  <si>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</si>
  <si>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</si>
  <si>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</si>
  <si>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TOTAL NON-CURRENT LIABILITIES</t>
  </si>
  <si>
    <t>CURRENT LIABILITIES</t>
  </si>
  <si>
    <t>Short Term Borrowings</t>
  </si>
  <si>
    <t>Trade Payables</t>
  </si>
  <si>
    <t>Other Current Liabilities</t>
  </si>
  <si>
    <t>Short Term Provisions</t>
  </si>
  <si>
    <t>TOTAL CURRENT LIABILITIES</t>
  </si>
  <si>
    <t>TOTAL CAPITAL AND LIABILITIES</t>
  </si>
  <si>
    <t>ASSETS</t>
  </si>
  <si>
    <t>NON-CURRENT ASSETS</t>
  </si>
  <si>
    <t>Tangible Assets</t>
  </si>
  <si>
    <t>Intangible Assets</t>
  </si>
  <si>
    <t>Capital Work-In-Progress</t>
  </si>
  <si>
    <t>Other Assets</t>
  </si>
  <si>
    <t>FIXED ASSETS</t>
  </si>
  <si>
    <t>Non-Current Investments</t>
  </si>
  <si>
    <t>Deferred Tax Assets [Net]</t>
  </si>
  <si>
    <t>Long Term Loans And Advances</t>
  </si>
  <si>
    <t>Other Non-Current Assets</t>
  </si>
  <si>
    <t>TOTAL NON-CURRENT ASSETS</t>
  </si>
  <si>
    <t>CURRENT ASSETS</t>
  </si>
  <si>
    <t>Current Investments</t>
  </si>
  <si>
    <t>Inventories</t>
  </si>
  <si>
    <t>Trade Receivables</t>
  </si>
  <si>
    <t>Cash And Cash Equivalents</t>
  </si>
  <si>
    <t>Short Term Loans And Advances</t>
  </si>
  <si>
    <t>OtherCurrentAssets</t>
  </si>
  <si>
    <t>TOTAL CURRENT ASSETS</t>
  </si>
  <si>
    <t>TOTAL ASSETS</t>
  </si>
  <si>
    <t>OTHER ADDITIONAL INFORMATION</t>
  </si>
  <si>
    <t>CONTINGENT LIABILITIES, COMMITMENTS</t>
  </si>
  <si>
    <t>Contingent Liabilities</t>
  </si>
  <si>
    <t>CIF VALUE OF IMPORTS</t>
  </si>
  <si>
    <t>Raw Materials</t>
  </si>
  <si>
    <t>Stores, Spares And Loose Tools</t>
  </si>
  <si>
    <t>Trade/Other Goods</t>
  </si>
  <si>
    <t>Capital Goods</t>
  </si>
  <si>
    <t>EXPENDITURE IN FOREIGN EXCHANGE</t>
  </si>
  <si>
    <t>Expenditure In Foreign Currency</t>
  </si>
  <si>
    <t>REMITTANCES IN FOREIGN CURRENCIES FOR DIVIDENDS</t>
  </si>
  <si>
    <t>Dividend Remittance In Foreign Currency</t>
  </si>
  <si>
    <t>--</t>
  </si>
  <si>
    <t>EARNINGS IN FOREIGN EXCHANGE</t>
  </si>
  <si>
    <t>FOB Value Of Goods</t>
  </si>
  <si>
    <t>Other Earnings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</si>
  <si>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</si>
  <si>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</si>
  <si>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</si>
  <si>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</si>
  <si>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</si>
  <si>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</si>
  <si>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</si>
  <si>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</si>
  <si>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t>INCOME</t>
  </si>
  <si>
    <t>Revenue From Operations [Gross]</t>
  </si>
  <si>
    <t>Less: Excise/Sevice Tax/Other Levies</t>
  </si>
  <si>
    <t>Revenue From Operations [Net]</t>
  </si>
  <si>
    <t>Total Operating Revenues</t>
  </si>
  <si>
    <t>Other Income</t>
  </si>
  <si>
    <t>Total Revenue</t>
  </si>
  <si>
    <t>EXPENSES</t>
  </si>
  <si>
    <t>Cost Of Materials Consumed</t>
  </si>
  <si>
    <t>Purchase Of Stock-In Trade</t>
  </si>
  <si>
    <t>Operating And Direct Expenses</t>
  </si>
  <si>
    <t>Changes In Inventories Of FG,WIP And Stock-In Trade</t>
  </si>
  <si>
    <t>Employee Benefit Expenses</t>
  </si>
  <si>
    <t>Finance Costs</t>
  </si>
  <si>
    <t>Depreciation And Amortisation Expenses</t>
  </si>
  <si>
    <t>Other Expenses</t>
  </si>
  <si>
    <t>Less: Transfer to / From Investment / Fixed Assets / Others</t>
  </si>
  <si>
    <t>Less: Amounts Transfer To Capital Accounts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</si>
  <si>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</si>
  <si>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</si>
  <si>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</si>
  <si>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</si>
  <si>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</si>
  <si>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</si>
  <si>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Deferred Tax</t>
  </si>
  <si>
    <t>Total Tax Expenses</t>
  </si>
  <si>
    <t>Profit/Loss After Tax And Before ExtraOrdinary Items</t>
  </si>
  <si>
    <t>Profit/Loss From Continuing Operations</t>
  </si>
  <si>
    <t>Profit Loss From Discontinuing Operations</t>
  </si>
  <si>
    <t>Net Profit Loss From Discontinuing Operations</t>
  </si>
  <si>
    <t>Profit/Loss For The Period</t>
  </si>
  <si>
    <t>EARNINGS PER SHARE</t>
  </si>
  <si>
    <t>Basic EPS (Rs.)</t>
  </si>
  <si>
    <t>Diluted EPS (Rs.)</t>
  </si>
  <si>
    <t>VALUE OF IMPORTED AND INDIGENIOUS RAW MATERIALS</t>
  </si>
  <si>
    <t>STORES, SPARES AND LOOSE TOOLS</t>
  </si>
  <si>
    <t>DIVIDEND AND DIVIDEND PERCENTAGE</t>
  </si>
  <si>
    <t>Equity Share Dividend</t>
  </si>
  <si>
    <t>Tax On Dividend</t>
  </si>
  <si>
    <t>Equity Dividend Rate (%)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</si>
  <si>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</si>
  <si>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</si>
  <si>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</si>
  <si>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</si>
  <si>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</si>
  <si>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</si>
  <si>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</si>
  <si>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</si>
  <si>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</si>
  <si>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</si>
  <si>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</si>
  <si>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</si>
  <si>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</si>
  <si>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Year</t>
  </si>
  <si>
    <t>Sales</t>
  </si>
  <si>
    <t>Profits</t>
  </si>
  <si>
    <t>Expenses</t>
  </si>
  <si>
    <t>r</t>
  </si>
  <si>
    <t>Prediction</t>
  </si>
  <si>
    <t>SUMMARY OUTPUT</t>
  </si>
  <si>
    <t>Regression Statistics</t>
  </si>
  <si>
    <t>Multiple R</t>
  </si>
  <si>
    <t>R Square</t>
  </si>
  <si>
    <t>Adjusted R Square</t>
  </si>
  <si>
    <t>Observations</t>
  </si>
  <si>
    <t>Forecast(Sales)</t>
  </si>
  <si>
    <t>Lower Confidence Bound(Sales)</t>
  </si>
  <si>
    <t>Upper Confidence Bound(Sales)</t>
  </si>
  <si>
    <t>Forecast(Profits)</t>
  </si>
  <si>
    <t>Lower Confidence Bound(Profits)</t>
  </si>
  <si>
    <t>Upper Confidence Bound(Profits)</t>
  </si>
  <si>
    <t>PER SHARE RATIOS</t>
  </si>
  <si>
    <t>Net Profit Margin (%)</t>
  </si>
  <si>
    <t>Return on Networth / Equity (%)</t>
  </si>
  <si>
    <t>Return on Capital Employed (%)</t>
  </si>
  <si>
    <t>Current Ratio (X)</t>
  </si>
  <si>
    <t>Quick Ratio (X)</t>
  </si>
  <si>
    <t>Inventory Turnover Ratio (X)</t>
  </si>
  <si>
    <t>TATA</t>
  </si>
  <si>
    <t>Reliance</t>
  </si>
  <si>
    <t>Particulars</t>
  </si>
  <si>
    <t>EXPLORATORY AND PREDICTIVE ANALYSIS</t>
  </si>
  <si>
    <t>P&amp;L Reliance Industries</t>
  </si>
  <si>
    <t>Annual</t>
  </si>
  <si>
    <t>Total Income</t>
  </si>
  <si>
    <t>Total Expenditure</t>
  </si>
  <si>
    <t>EBIT</t>
  </si>
  <si>
    <t>Interest</t>
  </si>
  <si>
    <t>Tax</t>
  </si>
  <si>
    <t>Net Profit</t>
  </si>
  <si>
    <t>INCOME STATEMENT</t>
  </si>
  <si>
    <t>ROI</t>
  </si>
  <si>
    <t>Net Profit Margin Ratio(NPM)</t>
  </si>
  <si>
    <t>ROA</t>
  </si>
  <si>
    <t>Quick Ratio</t>
  </si>
  <si>
    <t>Current Ratio</t>
  </si>
  <si>
    <t>EPS</t>
  </si>
  <si>
    <t>Income</t>
  </si>
  <si>
    <t>Total</t>
  </si>
  <si>
    <t>NPM</t>
  </si>
  <si>
    <t>Column1</t>
  </si>
  <si>
    <t>Column2</t>
  </si>
  <si>
    <t>Open</t>
  </si>
  <si>
    <t>Previous Close</t>
  </si>
  <si>
    <t>Volume</t>
  </si>
  <si>
    <t>Value (Lacs)</t>
  </si>
  <si>
    <t>i VWAP</t>
  </si>
  <si>
    <t>Beta</t>
  </si>
  <si>
    <t>High</t>
  </si>
  <si>
    <t>Low</t>
  </si>
  <si>
    <t>UC Limit</t>
  </si>
  <si>
    <t>LC Limit</t>
  </si>
  <si>
    <t>52 Week High</t>
  </si>
  <si>
    <t>52 Week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</si>
</sst>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rgb="FF202020"/>
      <name val="Times New Roman"/>
      <family val="1"/>
    </font>
    <font>
      <b/>
      <sz val="12"/>
      <color rgb="FF333333"/>
      <name val="Times New Roman"/>
      <family val="1"/>
    </font>
    <font>
      <sz val="12"/>
      <color rgb="FF333333"/>
      <name val="Times New Roman"/>
      <family val="1"/>
    </font>
    <font>
      <b/>
      <sz val="12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4" fontId="0" fillId="0" borderId="0" xfId="0" applyNumberFormat="1"/>
    <xf numFmtId="0" fontId="0" fillId="0" borderId="1" xfId="0" applyBorder="1"/>
    <xf numFmtId="0" fontId="4" fillId="0" borderId="2" xfId="0" applyFont="1" applyBorder="1" applyAlignment="1">
      <alignment horizontal="centerContinuous"/>
    </xf>
    <xf numFmtId="0" fontId="0" fillId="0" borderId="3" xfId="0" applyBorder="1"/>
    <xf numFmtId="4" fontId="0" fillId="0" borderId="3" xfId="0" applyNumberFormat="1" applyBorder="1"/>
    <xf numFmtId="0" fontId="3" fillId="0" borderId="3" xfId="0" applyFont="1" applyBorder="1"/>
    <xf numFmtId="0" fontId="3" fillId="0" borderId="0" xfId="0" applyFont="1"/>
    <xf numFmtId="17" fontId="3" fillId="0" borderId="3" xfId="0" applyNumberFormat="1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8" xfId="0" applyFont="1" applyBorder="1"/>
    <xf numFmtId="0" fontId="4" fillId="0" borderId="9" xfId="0" applyFont="1" applyBorder="1" applyAlignment="1">
      <alignment horizontal="centerContinuous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4" fontId="3" fillId="0" borderId="8" xfId="0" applyNumberFormat="1" applyFont="1" applyBorder="1"/>
    <xf numFmtId="0" fontId="6" fillId="0" borderId="0" xfId="0" applyFont="1"/>
    <xf numFmtId="17" fontId="3" fillId="0" borderId="3" xfId="0" applyNumberFormat="1" applyFont="1" applyBorder="1"/>
    <xf numFmtId="17" fontId="0" fillId="0" borderId="3" xfId="0" applyNumberFormat="1" applyBorder="1"/>
    <xf numFmtId="0" fontId="7" fillId="2" borderId="3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3" fontId="9" fillId="2" borderId="3" xfId="0" applyNumberFormat="1" applyFont="1" applyFill="1" applyBorder="1" applyAlignment="1">
      <alignment horizontal="right" vertical="center"/>
    </xf>
    <xf numFmtId="0" fontId="8" fillId="3" borderId="3" xfId="0" applyFont="1" applyFill="1" applyBorder="1" applyAlignment="1">
      <alignment horizontal="left" vertical="center"/>
    </xf>
    <xf numFmtId="3" fontId="9" fillId="3" borderId="3" xfId="0" applyNumberFormat="1" applyFont="1" applyFill="1" applyBorder="1" applyAlignment="1">
      <alignment horizontal="right" vertical="center"/>
    </xf>
    <xf numFmtId="0" fontId="10" fillId="0" borderId="3" xfId="2" applyFont="1" applyFill="1" applyBorder="1" applyAlignment="1" applyProtection="1">
      <alignment horizontal="left" vertical="center"/>
      <protection hidden="1"/>
    </xf>
    <xf numFmtId="0" fontId="10" fillId="0" borderId="3" xfId="2" applyFont="1" applyFill="1" applyBorder="1" applyAlignment="1" applyProtection="1">
      <alignment vertical="center"/>
      <protection hidden="1"/>
    </xf>
    <xf numFmtId="0" fontId="11" fillId="0" borderId="3" xfId="0" applyFont="1" applyBorder="1"/>
    <xf numFmtId="10" fontId="0" fillId="0" borderId="0" xfId="1" applyNumberFormat="1" applyFont="1" applyBorder="1"/>
    <xf numFmtId="0" fontId="10" fillId="0" borderId="0" xfId="2" applyFont="1" applyFill="1" applyBorder="1" applyAlignment="1" applyProtection="1">
      <alignment horizontal="left" vertical="center"/>
      <protection hidden="1"/>
    </xf>
    <xf numFmtId="3" fontId="0" fillId="0" borderId="3" xfId="0" applyNumberFormat="1" applyBorder="1"/>
    <xf numFmtId="0" fontId="0" fillId="4" borderId="0" xfId="0" applyFill="1"/>
    <xf numFmtId="10" fontId="11" fillId="0" borderId="3" xfId="0" applyNumberFormat="1" applyFont="1" applyBorder="1"/>
    <xf numFmtId="9" fontId="11" fillId="0" borderId="3" xfId="1" applyFont="1" applyBorder="1"/>
    <xf numFmtId="10" fontId="0" fillId="0" borderId="3" xfId="1" applyNumberFormat="1" applyFont="1" applyBorder="1"/>
    <xf numFmtId="9" fontId="11" fillId="0" borderId="3" xfId="0" applyNumberFormat="1" applyFont="1" applyBorder="1"/>
    <xf numFmtId="0" fontId="12" fillId="4" borderId="0" xfId="0" applyFont="1" applyFill="1"/>
    <xf numFmtId="10" fontId="12" fillId="4" borderId="0" xfId="1" applyNumberFormat="1" applyFont="1" applyFill="1"/>
    <xf numFmtId="0" fontId="10" fillId="3" borderId="3" xfId="0" applyFont="1" applyFill="1" applyBorder="1" applyAlignment="1">
      <alignment horizontal="left" vertical="center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3">
    <cellStyle name="Explanatory Text" xfId="2" builtinId="53"/>
    <cellStyle name="Normal" xfId="0" builtinId="0"/>
    <cellStyle name="Percent" xfId="1" builtinId="5"/>
  </cellStyles>
  <dxfs count="8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'Correlation &amp; Regression'!$C$6</c:f>
              <c:strCache>
                <c:ptCount val="1"/>
                <c:pt idx="0">
                  <c:v>Profits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1801399825021867E-2"/>
                  <c:y val="-4.28138670166229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'Correlation &amp; Regression'!$B$7:$B$11</c:f>
              <c:numCache>
                <c:formatCode>#,##0.00</c:formatCode>
                <c:ptCount val="5"/>
                <c:pt idx="0">
                  <c:v>371616</c:v>
                </c:pt>
                <c:pt idx="1">
                  <c:v>336953</c:v>
                </c:pt>
                <c:pt idx="2">
                  <c:v>245667</c:v>
                </c:pt>
                <c:pt idx="3">
                  <c:v>423703</c:v>
                </c:pt>
                <c:pt idx="4">
                  <c:v>528315</c:v>
                </c:pt>
              </c:numCache>
            </c:numRef>
          </c:xVal>
          <c:yVal>
            <c:numRef>
              <c:f>'Correlation &amp; Regression'!$C$7:$C$11</c:f>
              <c:numCache>
                <c:formatCode>#,##0.00</c:formatCode>
                <c:ptCount val="5"/>
                <c:pt idx="0">
                  <c:v>35163</c:v>
                </c:pt>
                <c:pt idx="1">
                  <c:v>30903</c:v>
                </c:pt>
                <c:pt idx="2">
                  <c:v>31944</c:v>
                </c:pt>
                <c:pt idx="3">
                  <c:v>39084</c:v>
                </c:pt>
                <c:pt idx="4">
                  <c:v>44205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8E-465E-88E2-E487257A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174176"/>
        <c:axId val="692287072"/>
      </c:scatterChart>
      <c:valAx>
        <c:axId val="108917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87072"/>
        <c:crosses val="autoZero"/>
        <c:crossBetween val="midCat"/>
      </c:valAx>
      <c:valAx>
        <c:axId val="69228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17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'Correlation &amp; Regression'!$P$6</c:f>
              <c:strCache>
                <c:ptCount val="1"/>
                <c:pt idx="0">
                  <c:v>Expenses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6837270341207348E-2"/>
                  <c:y val="-8.058544765237678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'Correlation &amp; Regression'!$O$7:$O$11</c:f>
              <c:numCache>
                <c:formatCode>#,##0.00</c:formatCode>
                <c:ptCount val="5"/>
                <c:pt idx="0">
                  <c:v>371616</c:v>
                </c:pt>
                <c:pt idx="1">
                  <c:v>336953</c:v>
                </c:pt>
                <c:pt idx="2">
                  <c:v>245667</c:v>
                </c:pt>
                <c:pt idx="3">
                  <c:v>423703</c:v>
                </c:pt>
                <c:pt idx="4">
                  <c:v>528315</c:v>
                </c:pt>
              </c:numCache>
            </c:numRef>
          </c:xVal>
          <c:yVal>
            <c:numRef>
              <c:f>'Correlation &amp; Regression'!$P$7:$P$11</c:f>
              <c:numCache>
                <c:formatCode>#,##0.00</c:formatCode>
                <c:ptCount val="5"/>
                <c:pt idx="0">
                  <c:v>333071</c:v>
                </c:pt>
                <c:pt idx="1">
                  <c:v>305958</c:v>
                </c:pt>
                <c:pt idx="2">
                  <c:v>237577</c:v>
                </c:pt>
                <c:pt idx="3">
                  <c:v>390789</c:v>
                </c:pt>
                <c:pt idx="4">
                  <c:v>485411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A-438B-BA91-4AEC6109D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144416"/>
        <c:axId val="269056768"/>
      </c:scatterChart>
      <c:valAx>
        <c:axId val="108914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056768"/>
        <c:crosses val="autoZero"/>
        <c:crossBetween val="midCat"/>
      </c:valAx>
      <c:valAx>
        <c:axId val="26905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14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'Forecasting of Sales'!$B$1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'Forecasting of Sales'!$B$2:$B$11</c:f>
              <c:numCache>
                <c:formatCode>#,##0.00</c:formatCode>
                <c:ptCount val="10"/>
                <c:pt idx="0">
                  <c:v>371616</c:v>
                </c:pt>
                <c:pt idx="1">
                  <c:v>336953</c:v>
                </c:pt>
                <c:pt idx="2">
                  <c:v>245667</c:v>
                </c:pt>
                <c:pt idx="3">
                  <c:v>423703</c:v>
                </c:pt>
                <c:pt idx="4">
                  <c:v>528315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7-47DA-9A58-7AEA38F8EC32}"/>
            </c:ext>
          </c:extLst>
        </c:ser>
        <c:ser>
          <c:idx val="1"/>
          <c:order val="1"/>
          <c:tx>
            <c:strRef>
              <c:f>'Forecasting of Sales'!$C$1</c:f>
              <c:strCache>
                <c:ptCount val="1"/>
                <c:pt idx="0">
                  <c:v>Forecast(Sales)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'Forecasting of Sales'!$A$2:$A$11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'Forecasting of Sales'!$C$2:$C$11</c:f>
              <c:numCache>
                <c:formatCode>General</c:formatCode>
                <c:ptCount val="10"/>
                <c:pt idx="4" formatCode="#,##0.00">
                  <c:v>528315</c:v>
                </c:pt>
                <c:pt idx="5" formatCode="#,##0.00">
                  <c:v>536299.03225353116</c:v>
                </c:pt>
                <c:pt idx="6" formatCode="#,##0.00">
                  <c:v>583408.46795820503</c:v>
                </c:pt>
                <c:pt idx="7" formatCode="#,##0.00">
                  <c:v>630517.9036628789</c:v>
                </c:pt>
                <c:pt idx="8" formatCode="#,##0.00">
                  <c:v>677627.33936755278</c:v>
                </c:pt>
                <c:pt idx="9" formatCode="#,##0.00">
                  <c:v>724736.77507222665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57-47DA-9A58-7AEA38F8EC32}"/>
            </c:ext>
          </c:extLst>
        </c:ser>
        <c:ser>
          <c:idx val="2"/>
          <c:order val="2"/>
          <c:tx>
            <c:strRef>
              <c:f>'Forecasting of Sales'!$D$1</c:f>
              <c:strCache>
                <c:ptCount val="1"/>
                <c:pt idx="0">
                  <c:v>Lower Confidence Bound(Sales)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'Forecasting of Sales'!$A$2:$A$11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'Forecasting of Sales'!$D$2:$D$11</c:f>
              <c:numCache>
                <c:formatCode>General</c:formatCode>
                <c:ptCount val="10"/>
                <c:pt idx="4" formatCode="#,##0.00">
                  <c:v>528315</c:v>
                </c:pt>
                <c:pt idx="5" formatCode="#,##0.00">
                  <c:v>346818.2465557789</c:v>
                </c:pt>
                <c:pt idx="6" formatCode="#,##0.00">
                  <c:v>371477.70318604249</c:v>
                </c:pt>
                <c:pt idx="7" formatCode="#,##0.00">
                  <c:v>398219.94705920375</c:v>
                </c:pt>
                <c:pt idx="8" formatCode="#,##0.00">
                  <c:v>426537.48550929432</c:v>
                </c:pt>
                <c:pt idx="9" formatCode="#,##0.00">
                  <c:v>456099.39296056691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57-47DA-9A58-7AEA38F8EC32}"/>
            </c:ext>
          </c:extLst>
        </c:ser>
        <c:ser>
          <c:idx val="3"/>
          <c:order val="3"/>
          <c:tx>
            <c:strRef>
              <c:f>'Forecasting of Sales'!$E$1</c:f>
              <c:strCache>
                <c:ptCount val="1"/>
                <c:pt idx="0">
                  <c:v>Upper Confidence Bound(Sales)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'Forecasting of Sales'!$A$2:$A$11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'Forecasting of Sales'!$E$2:$E$11</c:f>
              <c:numCache>
                <c:formatCode>General</c:formatCode>
                <c:ptCount val="10"/>
                <c:pt idx="4" formatCode="#,##0.00">
                  <c:v>528315</c:v>
                </c:pt>
                <c:pt idx="5" formatCode="#,##0.00">
                  <c:v>725779.81795128342</c:v>
                </c:pt>
                <c:pt idx="6" formatCode="#,##0.00">
                  <c:v>795339.23273036757</c:v>
                </c:pt>
                <c:pt idx="7" formatCode="#,##0.00">
                  <c:v>862815.86026655405</c:v>
                </c:pt>
                <c:pt idx="8" formatCode="#,##0.00">
                  <c:v>928717.19322581124</c:v>
                </c:pt>
                <c:pt idx="9" formatCode="#,##0.00">
                  <c:v>993374.15718388639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57-47DA-9A58-7AEA38F8E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149696"/>
        <c:axId val="269058752"/>
      </c:lineChart>
      <c:catAx>
        <c:axId val="108914969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058752"/>
        <c:crosses val="autoZero"/>
        <c:auto val="1"/>
        <c:lblAlgn val="ctr"/>
        <c:lblOffset val="100"/>
        <c:noMultiLvlLbl val="0"/>
      </c:catAx>
      <c:valAx>
        <c:axId val="26905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14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Ratios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'Competitor Analysis'!$G$3:$G$4</c:f>
              <c:strCache>
                <c:ptCount val="2"/>
                <c:pt idx="0">
                  <c:v>TATA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'Competitor Analysis'!$F$5:$F$11</c:f>
              <c:strCache>
                <c:ptCount val="7"/>
                <c:pt idx="0">
                  <c:v>Basic EPS (Rs.)</c:v>
                </c:pt>
                <c:pt idx="1">
                  <c:v>Net Profit Margin (%)</c:v>
                </c:pt>
                <c:pt idx="2">
                  <c:v>Return on Networth / Equity (%)</c:v>
                </c:pt>
                <c:pt idx="3">
                  <c:v>Return on Capital Employed (%)</c:v>
                </c:pt>
                <c:pt idx="4">
                  <c:v>Current Ratio (X)</c:v>
                </c:pt>
                <c:pt idx="5">
                  <c:v>Quick Ratio (X)</c:v>
                </c:pt>
                <c:pt idx="6">
                  <c:v>Inventory Turnover Ratio (X)</c:v>
                </c:pt>
              </c:strCache>
            </c:strRef>
          </c:cat>
          <c:val>
            <c:numRef>
              <c:f>'Competitor Analysis'!$G$5:$G$11</c:f>
              <c:numCache>
                <c:formatCode>General</c:formatCode>
                <c:ptCount val="7"/>
                <c:pt idx="0">
                  <c:v>9.61</c:v>
                </c:pt>
                <c:pt idx="1">
                  <c:v>11.16</c:v>
                </c:pt>
                <c:pt idx="2">
                  <c:v>7.54</c:v>
                </c:pt>
                <c:pt idx="3">
                  <c:v>9.51</c:v>
                </c:pt>
                <c:pt idx="4">
                  <c:v>2.56</c:v>
                </c:pt>
                <c:pt idx="5">
                  <c:v>1.73</c:v>
                </c:pt>
                <c:pt idx="6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B-4931-8AB2-38E3E7DF9223}"/>
            </c:ext>
          </c:extLst>
        </c:ser>
        <c:ser>
          <c:idx val="1"/>
          <c:order val="1"/>
          <c:tx>
            <c:strRef>
              <c:f>'Competitor Analysis'!$H$3:$H$4</c:f>
              <c:strCache>
                <c:ptCount val="2"/>
                <c:pt idx="0">
                  <c:v>Reliance</c:v>
                </c:pt>
                <c:pt idx="1">
                  <c:v>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'Competitor Analysis'!$F$5:$F$11</c:f>
              <c:strCache>
                <c:ptCount val="7"/>
                <c:pt idx="0">
                  <c:v>Basic EPS (Rs.)</c:v>
                </c:pt>
                <c:pt idx="1">
                  <c:v>Net Profit Margin (%)</c:v>
                </c:pt>
                <c:pt idx="2">
                  <c:v>Return on Networth / Equity (%)</c:v>
                </c:pt>
                <c:pt idx="3">
                  <c:v>Return on Capital Employed (%)</c:v>
                </c:pt>
                <c:pt idx="4">
                  <c:v>Current Ratio (X)</c:v>
                </c:pt>
                <c:pt idx="5">
                  <c:v>Quick Ratio (X)</c:v>
                </c:pt>
                <c:pt idx="6">
                  <c:v>Inventory Turnover Ratio (X)</c:v>
                </c:pt>
              </c:strCache>
            </c:strRef>
          </c:cat>
          <c:val>
            <c:numRef>
              <c:f>'Competitor Analysis'!$H$5:$H$11</c:f>
              <c:numCache>
                <c:formatCode>General</c:formatCode>
                <c:ptCount val="7"/>
                <c:pt idx="0">
                  <c:v>59.24</c:v>
                </c:pt>
                <c:pt idx="1">
                  <c:v>9.2200000000000006</c:v>
                </c:pt>
                <c:pt idx="2">
                  <c:v>8.2799999999999994</c:v>
                </c:pt>
                <c:pt idx="3">
                  <c:v>8.24</c:v>
                </c:pt>
                <c:pt idx="4">
                  <c:v>1.1100000000000001</c:v>
                </c:pt>
                <c:pt idx="5">
                  <c:v>0.88</c:v>
                </c:pt>
                <c:pt idx="6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BB-4931-8AB2-38E3E7DF9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9158816"/>
        <c:axId val="1066948448"/>
      </c:barChart>
      <c:catAx>
        <c:axId val="108915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948448"/>
        <c:crosses val="autoZero"/>
        <c:auto val="1"/>
        <c:lblAlgn val="ctr"/>
        <c:lblOffset val="100"/>
        <c:noMultiLvlLbl val="0"/>
      </c:catAx>
      <c:valAx>
        <c:axId val="106694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15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'Forecasting of Profits'!$B$1</c:f>
              <c:strCache>
                <c:ptCount val="1"/>
                <c:pt idx="0">
                  <c:v>Profits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'Forecasting of Profits'!$B$2:$B$11</c:f>
              <c:numCache>
                <c:formatCode>#,##0.00</c:formatCode>
                <c:ptCount val="10"/>
                <c:pt idx="0">
                  <c:v>35163</c:v>
                </c:pt>
                <c:pt idx="1">
                  <c:v>30903</c:v>
                </c:pt>
                <c:pt idx="2">
                  <c:v>31944</c:v>
                </c:pt>
                <c:pt idx="3">
                  <c:v>39084</c:v>
                </c:pt>
                <c:pt idx="4">
                  <c:v>44205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5-4441-A3BE-86E414175718}"/>
            </c:ext>
          </c:extLst>
        </c:ser>
        <c:ser>
          <c:idx val="1"/>
          <c:order val="1"/>
          <c:tx>
            <c:strRef>
              <c:f>'Forecasting of Profits'!$C$1</c:f>
              <c:strCache>
                <c:ptCount val="1"/>
                <c:pt idx="0">
                  <c:v>Forecast(Profits)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'Forecasting of Profits'!$A$2:$A$11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'Forecasting of Profits'!$C$2:$C$11</c:f>
              <c:numCache>
                <c:formatCode>General</c:formatCode>
                <c:ptCount val="10"/>
                <c:pt idx="4" formatCode="#,##0.00">
                  <c:v>44205</c:v>
                </c:pt>
                <c:pt idx="5" formatCode="#,##0.00">
                  <c:v>45551.980650415993</c:v>
                </c:pt>
                <c:pt idx="6" formatCode="#,##0.00">
                  <c:v>48420.853548918232</c:v>
                </c:pt>
                <c:pt idx="7" formatCode="#,##0.00">
                  <c:v>51289.726447420479</c:v>
                </c:pt>
                <c:pt idx="8" formatCode="#,##0.00">
                  <c:v>54158.599345922717</c:v>
                </c:pt>
                <c:pt idx="9" formatCode="#,##0.00">
                  <c:v>57027.472244424964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5-4441-A3BE-86E414175718}"/>
            </c:ext>
          </c:extLst>
        </c:ser>
        <c:ser>
          <c:idx val="2"/>
          <c:order val="2"/>
          <c:tx>
            <c:strRef>
              <c:f>'Forecasting of Profits'!$D$1</c:f>
              <c:strCache>
                <c:ptCount val="1"/>
                <c:pt idx="0">
                  <c:v>Lower Confidence Bound(Profits)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'Forecasting of Profits'!$A$2:$A$11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'Forecasting of Profits'!$D$2:$D$11</c:f>
              <c:numCache>
                <c:formatCode>General</c:formatCode>
                <c:ptCount val="10"/>
                <c:pt idx="4" formatCode="#,##0.00">
                  <c:v>44205</c:v>
                </c:pt>
                <c:pt idx="5" formatCode="#,##0.00">
                  <c:v>37153.172945399419</c:v>
                </c:pt>
                <c:pt idx="6" formatCode="#,##0.00">
                  <c:v>39026.94200509668</c:v>
                </c:pt>
                <c:pt idx="7" formatCode="#,##0.00">
                  <c:v>40993.031399434432</c:v>
                </c:pt>
                <c:pt idx="8" formatCode="#,##0.00">
                  <c:v>43028.946323477801</c:v>
                </c:pt>
                <c:pt idx="9" formatCode="#,##0.00">
                  <c:v>45120.018375546199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B5-4441-A3BE-86E414175718}"/>
            </c:ext>
          </c:extLst>
        </c:ser>
        <c:ser>
          <c:idx val="3"/>
          <c:order val="3"/>
          <c:tx>
            <c:strRef>
              <c:f>'Forecasting of Profits'!$E$1</c:f>
              <c:strCache>
                <c:ptCount val="1"/>
                <c:pt idx="0">
                  <c:v>Upper Confidence Bound(Profits)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'Forecasting of Profits'!$A$2:$A$11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'Forecasting of Profits'!$E$2:$E$11</c:f>
              <c:numCache>
                <c:formatCode>General</c:formatCode>
                <c:ptCount val="10"/>
                <c:pt idx="4" formatCode="#,##0.00">
                  <c:v>44205</c:v>
                </c:pt>
                <c:pt idx="5" formatCode="#,##0.00">
                  <c:v>53950.788355432567</c:v>
                </c:pt>
                <c:pt idx="6" formatCode="#,##0.00">
                  <c:v>57814.765092739784</c:v>
                </c:pt>
                <c:pt idx="7" formatCode="#,##0.00">
                  <c:v>61586.421495406525</c:v>
                </c:pt>
                <c:pt idx="8" formatCode="#,##0.00">
                  <c:v>65288.252368367634</c:v>
                </c:pt>
                <c:pt idx="9" formatCode="#,##0.00">
                  <c:v>68934.926113303722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B5-4441-A3BE-86E414175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161696"/>
        <c:axId val="1090251696"/>
      </c:lineChart>
      <c:catAx>
        <c:axId val="108916169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251696"/>
        <c:crosses val="autoZero"/>
        <c:auto val="1"/>
        <c:lblAlgn val="ctr"/>
        <c:lblOffset val="100"/>
        <c:noMultiLvlLbl val="0"/>
      </c:catAx>
      <c:valAx>
        <c:axId val="109025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16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Workings!$C$30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00B0F0"/>
            </a:solidFill>
          </c:spPr>
          <c:dPt>
            <c:idx val="1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0E20-4518-BC3B-0847AAD5ACF5}"/>
              </c:ext>
            </c:extLst>
          </c:dPt>
          <c:val>
            <c:numRef>
              <c:f>Workings!$D$30:$E$30</c:f>
              <c:numCache>
                <c:formatCode>0.00%</c:formatCode>
                <c:ptCount val="2"/>
                <c:pt idx="0">
                  <c:v>0.09</c:v>
                </c:pt>
                <c:pt idx="1">
                  <c:v>0.43490000000000001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0-4518-BC3B-0847AAD5ACF5}"/>
            </c:ext>
          </c:extLst>
        </c:ser>
        <c:ser>
          <c:idx val="0"/>
          <c:order val="1"/>
          <c:tx>
            <c:strRef>
              <c:f>Workings!$C$30</c:f>
              <c:strCache>
                <c:ptCount val="1"/>
                <c:pt idx="0">
                  <c:v>ROI</c:v>
                </c:pt>
              </c:strCache>
            </c:strRef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E20-4518-BC3B-0847AAD5ACF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E20-4518-BC3B-0847AAD5ACF5}"/>
              </c:ext>
            </c:extLst>
          </c:dPt>
          <c:val>
            <c:numRef>
              <c:f>Workings!$D$30:$E$30</c:f>
              <c:numCache>
                <c:formatCode>0.00%</c:formatCode>
                <c:ptCount val="2"/>
                <c:pt idx="0">
                  <c:v>0.09</c:v>
                </c:pt>
                <c:pt idx="1">
                  <c:v>0.43490000000000001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20-4518-BC3B-0847AAD5A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  <c:extLst/>
  </c:chart>
  <c:spPr>
    <a:noFill/>
    <a:ln w="6350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Workings!$C$31</c:f>
              <c:strCache>
                <c:ptCount val="1"/>
                <c:pt idx="0">
                  <c:v>Net Profit Margin Ratio(NPM)</c:v>
                </c:pt>
              </c:strCache>
            </c:strRef>
          </c:tx>
          <c:dPt>
            <c:idx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79A7-4A5B-82B6-BBCDA341F485}"/>
              </c:ext>
            </c:extLst>
          </c:dPt>
          <c:dPt>
            <c:idx val="1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79A7-4A5B-82B6-BBCDA341F485}"/>
              </c:ext>
            </c:extLst>
          </c:dPt>
          <c:val>
            <c:numRef>
              <c:f>Workings!$D$31:$E$31</c:f>
              <c:numCache>
                <c:formatCode>0.00%</c:formatCode>
                <c:ptCount val="2"/>
                <c:pt idx="0">
                  <c:v>0.13</c:v>
                </c:pt>
                <c:pt idx="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A7-4A5B-82B6-BBCDA341F485}"/>
            </c:ext>
          </c:extLst>
        </c:ser>
        <c:ser>
          <c:idx val="0"/>
          <c:order val="1"/>
          <c:tx>
            <c:strRef>
              <c:f>Workings!$C$31</c:f>
              <c:strCache>
                <c:ptCount val="1"/>
                <c:pt idx="0">
                  <c:v>Net Profit Margin Ratio(NPM)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9A7-4A5B-82B6-BBCDA341F48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A7-4A5B-82B6-BBCDA341F485}"/>
              </c:ext>
            </c:extLst>
          </c:dPt>
          <c:val>
            <c:numRef>
              <c:f>Workings!$D$31:$E$31</c:f>
              <c:numCache>
                <c:formatCode>0.00%</c:formatCode>
                <c:ptCount val="2"/>
                <c:pt idx="0">
                  <c:v>0.13</c:v>
                </c:pt>
                <c:pt idx="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A7-4A5B-82B6-BBCDA341F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Workings!$C$32</c:f>
              <c:strCache>
                <c:ptCount val="1"/>
                <c:pt idx="0">
                  <c:v>ROA</c:v>
                </c:pt>
              </c:strCache>
            </c:strRef>
          </c:tx>
          <c:dPt>
            <c:idx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AF5F-4B8A-9228-81872FB9F3FA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AF5F-4B8A-9228-81872FB9F3FA}"/>
              </c:ext>
            </c:extLst>
          </c:dPt>
          <c:val>
            <c:numRef>
              <c:f>Workings!$D$32:$E$32</c:f>
              <c:numCache>
                <c:formatCode>0.00%</c:formatCode>
                <c:ptCount val="2"/>
                <c:pt idx="0">
                  <c:v>3.6499999999999998E-2</c:v>
                </c:pt>
                <c:pt idx="1">
                  <c:v>4.9599999999999998E-2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5F-4B8A-9228-81872FB9F3FA}"/>
            </c:ext>
          </c:extLst>
        </c:ser>
        <c:ser>
          <c:idx val="0"/>
          <c:order val="1"/>
          <c:tx>
            <c:strRef>
              <c:f>Workings!$C$32</c:f>
              <c:strCache>
                <c:ptCount val="1"/>
                <c:pt idx="0">
                  <c:v>ROA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F5F-4B8A-9228-81872FB9F3FA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F5F-4B8A-9228-81872FB9F3FA}"/>
              </c:ext>
            </c:extLst>
          </c:dPt>
          <c:val>
            <c:numRef>
              <c:f>Workings!$D$32:$E$32</c:f>
              <c:numCache>
                <c:formatCode>0.00%</c:formatCode>
                <c:ptCount val="2"/>
                <c:pt idx="0">
                  <c:v>3.6499999999999998E-2</c:v>
                </c:pt>
                <c:pt idx="1">
                  <c:v>4.9599999999999998E-2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5F-4B8A-9228-81872FB9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Workings!$C$33</c:f>
              <c:strCache>
                <c:ptCount val="1"/>
                <c:pt idx="0">
                  <c:v>Quick Ratio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8-17F6-4F85-B0D0-2AD247F9FBAD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17F6-4F85-B0D0-2AD247F9FBAD}"/>
              </c:ext>
            </c:extLst>
          </c:dPt>
          <c:val>
            <c:numRef>
              <c:f>Workings!$D$33:$E$33</c:f>
              <c:numCache>
                <c:formatCode>#,##0</c:formatCode>
                <c:ptCount val="2"/>
                <c:pt idx="0" formatCode="General">
                  <c:v>0.86</c:v>
                </c:pt>
                <c:pt idx="1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F6-4F85-B0D0-2AD247F9FBAD}"/>
            </c:ext>
          </c:extLst>
        </c:ser>
        <c:ser>
          <c:idx val="0"/>
          <c:order val="1"/>
          <c:tx>
            <c:strRef>
              <c:f>Workings!$C$33</c:f>
              <c:strCache>
                <c:ptCount val="1"/>
                <c:pt idx="0">
                  <c:v>Quick Ratio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7F6-4F85-B0D0-2AD247F9FBA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7F6-4F85-B0D0-2AD247F9FBAD}"/>
              </c:ext>
            </c:extLst>
          </c:dPt>
          <c:val>
            <c:numRef>
              <c:f>Workings!$D$33:$E$33</c:f>
              <c:numCache>
                <c:formatCode>#,##0</c:formatCode>
                <c:ptCount val="2"/>
                <c:pt idx="0" formatCode="General">
                  <c:v>0.86</c:v>
                </c:pt>
                <c:pt idx="1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F6-4F85-B0D0-2AD247F9F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</cx:f>
      </cx:strDim>
      <cx:numDim type="size">
        <cx:f dir="row">_xlchart.v1.3</cx:f>
      </cx:numDim>
    </cx:data>
  </cx:chartData>
  <cx:chart>
    <cx:plotArea>
      <cx:plotAreaRegion>
        <cx:series layoutId="treemap" uniqueId="{52C6847E-3540-4BF4-BE6D-8769DC0112C5}">
          <cx:dataPt idx="0">
            <cx:spPr>
              <a:solidFill>
                <a:srgbClr val="00B0F0"/>
              </a:solidFill>
            </cx:spPr>
          </cx:dataPt>
          <cx:dataPt idx="1">
            <cx:spPr>
              <a:solidFill>
                <a:srgbClr val="92D050"/>
              </a:solidFill>
            </cx:spPr>
          </cx:dataPt>
          <cx:dataLabels pos="inEnd"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series layoutId="waterfall" uniqueId="{E08C94D3-F613-43AD-9D96-408FE0B1B0B6}">
          <cx:spPr>
            <a:solidFill>
              <a:schemeClr val="accent4"/>
            </a:solidFill>
          </cx:spPr>
          <cx:dataLabels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</cx:chart>
  <cx:spPr>
    <a:solidFill>
      <a:schemeClr val="bg1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6" fmlaLink="Workings!$D$21" fmlaRange="Workings!$H$24:$H$28" noThreeD="1" sel="3" val="0"/>
</file>

<file path=xl/ctrlProps/ctrlProp2.xml><?xml version="1.0" encoding="utf-8"?>
<formControlPr xmlns="http://schemas.microsoft.com/office/spreadsheetml/2009/9/main" objectType="Drop" dropStyle="combo" dx="26" fmlaLink="$D$21" fmlaRange="$H$24:$H$28" noThreeD="1" sel="3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&amp;L'!A1"/><Relationship Id="rId3" Type="http://schemas.openxmlformats.org/officeDocument/2006/relationships/hyperlink" Target="#Descriptive!A1"/><Relationship Id="rId7" Type="http://schemas.openxmlformats.org/officeDocument/2006/relationships/hyperlink" Target="#'Stock Data'!A1"/><Relationship Id="rId2" Type="http://schemas.openxmlformats.org/officeDocument/2006/relationships/hyperlink" Target="#'Forecasting of Sales'!A1"/><Relationship Id="rId1" Type="http://schemas.openxmlformats.org/officeDocument/2006/relationships/hyperlink" Target="#'Balance Sheet'!A1"/><Relationship Id="rId6" Type="http://schemas.openxmlformats.org/officeDocument/2006/relationships/hyperlink" Target="#'Forecasting of Profits'!A1"/><Relationship Id="rId5" Type="http://schemas.openxmlformats.org/officeDocument/2006/relationships/hyperlink" Target="#'Competitor Analysis'!A1"/><Relationship Id="rId10" Type="http://schemas.openxmlformats.org/officeDocument/2006/relationships/hyperlink" Target="#Dashboard!A1"/><Relationship Id="rId4" Type="http://schemas.openxmlformats.org/officeDocument/2006/relationships/hyperlink" Target="#'Correlation &amp; Regression'!A1"/><Relationship Id="rId9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Homepag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Homepag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Homepag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Homepag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Homepage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Homepage!A1"/><Relationship Id="rId1" Type="http://schemas.openxmlformats.org/officeDocument/2006/relationships/chart" Target="../charts/chart3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Homepage!A1"/><Relationship Id="rId1" Type="http://schemas.openxmlformats.org/officeDocument/2006/relationships/chart" Target="../charts/chart4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Homepage!A1"/><Relationship Id="rId1" Type="http://schemas.openxmlformats.org/officeDocument/2006/relationships/chart" Target="../charts/chart5.xml"/><Relationship Id="rId4" Type="http://schemas.openxmlformats.org/officeDocument/2006/relationships/image" Target="../media/image3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Homepage!A1"/><Relationship Id="rId3" Type="http://schemas.openxmlformats.org/officeDocument/2006/relationships/chart" Target="../charts/chart8.xml"/><Relationship Id="rId7" Type="http://schemas.openxmlformats.org/officeDocument/2006/relationships/image" Target="../media/image1.jpe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microsoft.com/office/2014/relationships/chartEx" Target="../charts/chartEx2.xml"/><Relationship Id="rId5" Type="http://schemas.microsoft.com/office/2014/relationships/chartEx" Target="../charts/chartEx1.xml"/><Relationship Id="rId10" Type="http://schemas.openxmlformats.org/officeDocument/2006/relationships/image" Target="../media/image3.svg"/><Relationship Id="rId4" Type="http://schemas.openxmlformats.org/officeDocument/2006/relationships/chart" Target="../charts/chart9.xml"/><Relationship Id="rId9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Homepag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182880</xdr:colOff>
      <xdr:row>0</xdr:row>
      <xdr:rowOff>0</xdr:rowOff>
    </xdr:from>
    <xdr:to>
      <xdr:col>18</xdr:col>
      <xdr:colOff>175260</xdr:colOff>
      <xdr:row>27</xdr:row>
      <xdr:rowOff>144780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" y="0"/>
          <a:ext cx="10355580" cy="508254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457200</xdr:colOff>
      <xdr:row>7</xdr:row>
      <xdr:rowOff>38100</xdr:rowOff>
    </xdr:from>
    <xdr:to>
      <xdr:col>5</xdr:col>
      <xdr:colOff>563880</xdr:colOff>
      <xdr:row>11</xdr:row>
      <xdr:rowOff>38100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76400" y="1318260"/>
          <a:ext cx="1935480" cy="73152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Balance Sheet</a:t>
          </a:r>
        </a:p>
      </xdr:txBody>
    </xdr:sp>
    <xdr:clientData/>
  </xdr:twoCellAnchor>
  <xdr:twoCellAnchor>
    <xdr:from>
      <xdr:col>13</xdr:col>
      <xdr:colOff>304800</xdr:colOff>
      <xdr:row>13</xdr:row>
      <xdr:rowOff>114300</xdr:rowOff>
    </xdr:from>
    <xdr:to>
      <xdr:col>16</xdr:col>
      <xdr:colOff>411480</xdr:colOff>
      <xdr:row>17</xdr:row>
      <xdr:rowOff>114300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29600" y="2491740"/>
          <a:ext cx="1935480" cy="73152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Sales Forecast</a:t>
          </a:r>
        </a:p>
      </xdr:txBody>
    </xdr:sp>
    <xdr:clientData/>
  </xdr:twoCellAnchor>
  <xdr:twoCellAnchor>
    <xdr:from>
      <xdr:col>2</xdr:col>
      <xdr:colOff>472440</xdr:colOff>
      <xdr:row>13</xdr:row>
      <xdr:rowOff>91440</xdr:rowOff>
    </xdr:from>
    <xdr:to>
      <xdr:col>5</xdr:col>
      <xdr:colOff>579120</xdr:colOff>
      <xdr:row>17</xdr:row>
      <xdr:rowOff>91440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91640" y="1920240"/>
          <a:ext cx="1935480" cy="73152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Descriptive Statistics</a:t>
          </a:r>
        </a:p>
      </xdr:txBody>
    </xdr:sp>
    <xdr:clientData/>
  </xdr:twoCellAnchor>
  <xdr:twoCellAnchor>
    <xdr:from>
      <xdr:col>8</xdr:col>
      <xdr:colOff>205740</xdr:colOff>
      <xdr:row>13</xdr:row>
      <xdr:rowOff>60960</xdr:rowOff>
    </xdr:from>
    <xdr:to>
      <xdr:col>11</xdr:col>
      <xdr:colOff>312420</xdr:colOff>
      <xdr:row>17</xdr:row>
      <xdr:rowOff>60960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082540" y="2438400"/>
          <a:ext cx="1935480" cy="73152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Correlation</a:t>
          </a:r>
          <a:r>
            <a:rPr lang="en-IN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 &amp; Regression</a:t>
          </a:r>
          <a:endParaRPr lang="en-IN" sz="1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243840</xdr:colOff>
      <xdr:row>20</xdr:row>
      <xdr:rowOff>68580</xdr:rowOff>
    </xdr:from>
    <xdr:to>
      <xdr:col>11</xdr:col>
      <xdr:colOff>350520</xdr:colOff>
      <xdr:row>24</xdr:row>
      <xdr:rowOff>68580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120640" y="3726180"/>
          <a:ext cx="1935480" cy="73152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Competitor</a:t>
          </a:r>
          <a:r>
            <a:rPr lang="en-IN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 Analysis</a:t>
          </a:r>
          <a:endParaRPr lang="en-IN" sz="1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495300</xdr:colOff>
      <xdr:row>20</xdr:row>
      <xdr:rowOff>7620</xdr:rowOff>
    </xdr:from>
    <xdr:to>
      <xdr:col>5</xdr:col>
      <xdr:colOff>601980</xdr:colOff>
      <xdr:row>24</xdr:row>
      <xdr:rowOff>7620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0" y="3116580"/>
          <a:ext cx="1935480" cy="73152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Profits Forecast</a:t>
          </a:r>
        </a:p>
      </xdr:txBody>
    </xdr:sp>
    <xdr:clientData/>
  </xdr:twoCellAnchor>
  <xdr:twoCellAnchor>
    <xdr:from>
      <xdr:col>13</xdr:col>
      <xdr:colOff>274320</xdr:colOff>
      <xdr:row>7</xdr:row>
      <xdr:rowOff>53340</xdr:rowOff>
    </xdr:from>
    <xdr:to>
      <xdr:col>16</xdr:col>
      <xdr:colOff>381000</xdr:colOff>
      <xdr:row>11</xdr:row>
      <xdr:rowOff>53340</xdr:rowOff>
    </xdr:to>
    <xdr:sp macro="" textlink="">
      <xdr:nvSpPr>
        <xdr:cNvPr id="8" name="Rectangle: Rounded Corner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199120" y="1333500"/>
          <a:ext cx="1935480" cy="73152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Stock Data</a:t>
          </a:r>
        </a:p>
      </xdr:txBody>
    </xdr:sp>
    <xdr:clientData/>
  </xdr:twoCellAnchor>
  <xdr:twoCellAnchor>
    <xdr:from>
      <xdr:col>8</xdr:col>
      <xdr:colOff>190500</xdr:colOff>
      <xdr:row>7</xdr:row>
      <xdr:rowOff>15240</xdr:rowOff>
    </xdr:from>
    <xdr:to>
      <xdr:col>11</xdr:col>
      <xdr:colOff>297180</xdr:colOff>
      <xdr:row>11</xdr:row>
      <xdr:rowOff>15240</xdr:rowOff>
    </xdr:to>
    <xdr:sp macro="" textlink="">
      <xdr:nvSpPr>
        <xdr:cNvPr id="9" name="Rectangle: Rounded Corner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67300" y="1295400"/>
          <a:ext cx="1935480" cy="73152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Profit &amp; Loss</a:t>
          </a:r>
        </a:p>
      </xdr:txBody>
    </xdr:sp>
    <xdr:clientData/>
  </xdr:twoCellAnchor>
  <xdr:twoCellAnchor>
    <xdr:from>
      <xdr:col>4</xdr:col>
      <xdr:colOff>213360</xdr:colOff>
      <xdr:row>2</xdr:row>
      <xdr:rowOff>76200</xdr:rowOff>
    </xdr:from>
    <xdr:to>
      <xdr:col>17</xdr:col>
      <xdr:colOff>320040</xdr:colOff>
      <xdr:row>6</xdr:row>
      <xdr:rowOff>38100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651760" y="441960"/>
          <a:ext cx="8031480" cy="69342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Times New Roman" panose="02020603050405020304" pitchFamily="18" charset="0"/>
              <a:cs typeface="Times New Roman" panose="02020603050405020304" pitchFamily="18" charset="0"/>
            </a:rPr>
            <a:t>FINANCIAL PERFORMANCE ANALYSIS OF RELIANCE INDUSTRIES</a:t>
          </a:r>
        </a:p>
      </xdr:txBody>
    </xdr:sp>
    <xdr:clientData/>
  </xdr:twoCellAnchor>
  <xdr:twoCellAnchor editAs="oneCell">
    <xdr:from>
      <xdr:col>2</xdr:col>
      <xdr:colOff>91440</xdr:colOff>
      <xdr:row>1</xdr:row>
      <xdr:rowOff>96844</xdr:rowOff>
    </xdr:from>
    <xdr:to>
      <xdr:col>4</xdr:col>
      <xdr:colOff>53340</xdr:colOff>
      <xdr:row>6</xdr:row>
      <xdr:rowOff>69087</xdr:rowOff>
    </xdr:to>
    <xdr:pic>
      <xdr:nvPicPr>
        <xdr:cNvPr id="11" name="Picture 10" descr="RIL Reliance Industries Limited Logo PNG vector in SVG, PDF, AI, CDR forma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" y="279724"/>
          <a:ext cx="1181100" cy="886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350520</xdr:colOff>
      <xdr:row>20</xdr:row>
      <xdr:rowOff>99060</xdr:rowOff>
    </xdr:from>
    <xdr:to>
      <xdr:col>16</xdr:col>
      <xdr:colOff>434340</xdr:colOff>
      <xdr:row>24</xdr:row>
      <xdr:rowOff>76200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275320" y="3756660"/>
          <a:ext cx="1912620" cy="70866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>
              <a:latin typeface="Times New Roman" panose="02020603050405020304" pitchFamily="18" charset="0"/>
              <a:cs typeface="Times New Roman" panose="02020603050405020304" pitchFamily="18" charset="0"/>
            </a:rPr>
            <a:t>Dash</a:t>
          </a:r>
          <a:r>
            <a:rPr lang="en-IN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board</a:t>
          </a:r>
          <a:endParaRPr lang="en-IN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114300</xdr:colOff>
      <xdr:row>0</xdr:row>
      <xdr:rowOff>160020</xdr:rowOff>
    </xdr:from>
    <xdr:to>
      <xdr:col>9</xdr:col>
      <xdr:colOff>518160</xdr:colOff>
      <xdr:row>3</xdr:row>
      <xdr:rowOff>15240</xdr:rowOff>
    </xdr:to>
    <xdr:pic>
      <xdr:nvPicPr>
        <xdr:cNvPr id="2" name="Graphic 1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839200" y="160020"/>
          <a:ext cx="403860" cy="403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129540</xdr:colOff>
      <xdr:row>0</xdr:row>
      <xdr:rowOff>160020</xdr:rowOff>
    </xdr:from>
    <xdr:to>
      <xdr:col>9</xdr:col>
      <xdr:colOff>533400</xdr:colOff>
      <xdr:row>3</xdr:row>
      <xdr:rowOff>15240</xdr:rowOff>
    </xdr:to>
    <xdr:pic>
      <xdr:nvPicPr>
        <xdr:cNvPr id="2" name="Graphic 1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029700" y="160020"/>
          <a:ext cx="403860" cy="4038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99060</xdr:colOff>
      <xdr:row>0</xdr:row>
      <xdr:rowOff>175260</xdr:rowOff>
    </xdr:from>
    <xdr:to>
      <xdr:col>14</xdr:col>
      <xdr:colOff>502920</xdr:colOff>
      <xdr:row>3</xdr:row>
      <xdr:rowOff>30480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33460" y="175260"/>
          <a:ext cx="403860" cy="4038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464820</xdr:colOff>
      <xdr:row>19</xdr:row>
      <xdr:rowOff>22860</xdr:rowOff>
    </xdr:from>
    <xdr:to>
      <xdr:col>8</xdr:col>
      <xdr:colOff>99060</xdr:colOff>
      <xdr:row>24</xdr:row>
      <xdr:rowOff>121920</xdr:rowOff>
    </xdr:to>
    <xdr:sp macro="[0]!D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693920" y="3505200"/>
          <a:ext cx="3634740" cy="101346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latin typeface="Times New Roman" panose="02020603050405020304" pitchFamily="18" charset="0"/>
              <a:cs typeface="Times New Roman" panose="02020603050405020304" pitchFamily="18" charset="0"/>
            </a:rPr>
            <a:t>Descriptive Statistics</a:t>
          </a:r>
        </a:p>
      </xdr:txBody>
    </xdr:sp>
    <xdr:clientData/>
  </xdr:twoCellAnchor>
  <xdr:twoCellAnchor editAs="oneCell">
    <xdr:from>
      <xdr:col>11</xdr:col>
      <xdr:colOff>121920</xdr:colOff>
      <xdr:row>0</xdr:row>
      <xdr:rowOff>167640</xdr:rowOff>
    </xdr:from>
    <xdr:to>
      <xdr:col>11</xdr:col>
      <xdr:colOff>525780</xdr:colOff>
      <xdr:row>3</xdr:row>
      <xdr:rowOff>22860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309860" y="167640"/>
          <a:ext cx="403860" cy="4038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358140</xdr:colOff>
      <xdr:row>8</xdr:row>
      <xdr:rowOff>110490</xdr:rowOff>
    </xdr:from>
    <xdr:to>
      <xdr:col>10</xdr:col>
      <xdr:colOff>137160</xdr:colOff>
      <xdr:row>23</xdr:row>
      <xdr:rowOff>110490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480060</xdr:colOff>
      <xdr:row>5</xdr:row>
      <xdr:rowOff>118110</xdr:rowOff>
    </xdr:from>
    <xdr:to>
      <xdr:col>28</xdr:col>
      <xdr:colOff>297180</xdr:colOff>
      <xdr:row>20</xdr:row>
      <xdr:rowOff>118110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137160</xdr:colOff>
      <xdr:row>0</xdr:row>
      <xdr:rowOff>0</xdr:rowOff>
    </xdr:from>
    <xdr:to>
      <xdr:col>17</xdr:col>
      <xdr:colOff>541020</xdr:colOff>
      <xdr:row>2</xdr:row>
      <xdr:rowOff>38100</xdr:rowOff>
    </xdr:to>
    <xdr:pic>
      <xdr:nvPicPr>
        <xdr:cNvPr id="2" name="Graphic 1" descr="Home with solid fill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954000" y="0"/>
          <a:ext cx="403860" cy="4038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381000</xdr:colOff>
      <xdr:row>8</xdr:row>
      <xdr:rowOff>19050</xdr:rowOff>
    </xdr:from>
    <xdr:to>
      <xdr:col>14</xdr:col>
      <xdr:colOff>527685</xdr:colOff>
      <xdr:row>28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91440</xdr:colOff>
      <xdr:row>0</xdr:row>
      <xdr:rowOff>0</xdr:rowOff>
    </xdr:from>
    <xdr:to>
      <xdr:col>14</xdr:col>
      <xdr:colOff>495300</xdr:colOff>
      <xdr:row>2</xdr:row>
      <xdr:rowOff>38100</xdr:rowOff>
    </xdr:to>
    <xdr:pic>
      <xdr:nvPicPr>
        <xdr:cNvPr id="3" name="Graphic 2" descr="Home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31980" y="0"/>
          <a:ext cx="403860" cy="40386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12</xdr:row>
      <xdr:rowOff>152400</xdr:rowOff>
    </xdr:from>
    <xdr:to>
      <xdr:col>15</xdr:col>
      <xdr:colOff>381000</xdr:colOff>
      <xdr:row>28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114300</xdr:colOff>
      <xdr:row>0</xdr:row>
      <xdr:rowOff>76200</xdr:rowOff>
    </xdr:from>
    <xdr:to>
      <xdr:col>15</xdr:col>
      <xdr:colOff>518160</xdr:colOff>
      <xdr:row>2</xdr:row>
      <xdr:rowOff>114300</xdr:rowOff>
    </xdr:to>
    <xdr:pic>
      <xdr:nvPicPr>
        <xdr:cNvPr id="3" name="Graphic 2" descr="Home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378440" y="76200"/>
          <a:ext cx="403860" cy="40386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327660</xdr:colOff>
      <xdr:row>8</xdr:row>
      <xdr:rowOff>19050</xdr:rowOff>
    </xdr:from>
    <xdr:to>
      <xdr:col>14</xdr:col>
      <xdr:colOff>390525</xdr:colOff>
      <xdr:row>28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121920</xdr:colOff>
      <xdr:row>0</xdr:row>
      <xdr:rowOff>152400</xdr:rowOff>
    </xdr:from>
    <xdr:to>
      <xdr:col>13</xdr:col>
      <xdr:colOff>525780</xdr:colOff>
      <xdr:row>3</xdr:row>
      <xdr:rowOff>7620</xdr:rowOff>
    </xdr:to>
    <xdr:pic>
      <xdr:nvPicPr>
        <xdr:cNvPr id="3" name="Graphic 2" descr="Home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590020" y="152400"/>
          <a:ext cx="403860" cy="4038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525780</xdr:colOff>
      <xdr:row>3</xdr:row>
      <xdr:rowOff>76200</xdr:rowOff>
    </xdr:from>
    <xdr:to>
      <xdr:col>6</xdr:col>
      <xdr:colOff>327660</xdr:colOff>
      <xdr:row>13</xdr:row>
      <xdr:rowOff>22860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25780" y="624840"/>
          <a:ext cx="2240280" cy="17754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53340</xdr:colOff>
      <xdr:row>3</xdr:row>
      <xdr:rowOff>68580</xdr:rowOff>
    </xdr:from>
    <xdr:to>
      <xdr:col>10</xdr:col>
      <xdr:colOff>464820</xdr:colOff>
      <xdr:row>13</xdr:row>
      <xdr:rowOff>15240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101340" y="617220"/>
          <a:ext cx="2476500" cy="17754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38100</xdr:colOff>
      <xdr:row>16</xdr:row>
      <xdr:rowOff>0</xdr:rowOff>
    </xdr:from>
    <xdr:to>
      <xdr:col>10</xdr:col>
      <xdr:colOff>449580</xdr:colOff>
      <xdr:row>25</xdr:row>
      <xdr:rowOff>129540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086100" y="2926080"/>
          <a:ext cx="2240280" cy="17754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563880</xdr:colOff>
      <xdr:row>16</xdr:row>
      <xdr:rowOff>15240</xdr:rowOff>
    </xdr:from>
    <xdr:to>
      <xdr:col>6</xdr:col>
      <xdr:colOff>365760</xdr:colOff>
      <xdr:row>25</xdr:row>
      <xdr:rowOff>144780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563880" y="2941320"/>
          <a:ext cx="2240280" cy="177546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83820</xdr:colOff>
      <xdr:row>3</xdr:row>
      <xdr:rowOff>175260</xdr:rowOff>
    </xdr:from>
    <xdr:to>
      <xdr:col>6</xdr:col>
      <xdr:colOff>121920</xdr:colOff>
      <xdr:row>12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213360</xdr:colOff>
      <xdr:row>4</xdr:row>
      <xdr:rowOff>83820</xdr:rowOff>
    </xdr:from>
    <xdr:to>
      <xdr:col>10</xdr:col>
      <xdr:colOff>342900</xdr:colOff>
      <xdr:row>12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99060</xdr:colOff>
      <xdr:row>16</xdr:row>
      <xdr:rowOff>45720</xdr:rowOff>
    </xdr:from>
    <xdr:to>
      <xdr:col>6</xdr:col>
      <xdr:colOff>243840</xdr:colOff>
      <xdr:row>25</xdr:row>
      <xdr:rowOff>99060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205740</xdr:colOff>
      <xdr:row>16</xdr:row>
      <xdr:rowOff>106680</xdr:rowOff>
    </xdr:from>
    <xdr:to>
      <xdr:col>10</xdr:col>
      <xdr:colOff>411480</xdr:colOff>
      <xdr:row>25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373380</xdr:colOff>
      <xdr:row>1</xdr:row>
      <xdr:rowOff>91440</xdr:rowOff>
    </xdr:from>
    <xdr:to>
      <xdr:col>17</xdr:col>
      <xdr:colOff>198120</xdr:colOff>
      <xdr:row>12</xdr:row>
      <xdr:rowOff>83820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00000000-0008-0000-09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59980" y="275590"/>
              <a:ext cx="3558540" cy="20180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403860</xdr:colOff>
      <xdr:row>14</xdr:row>
      <xdr:rowOff>106680</xdr:rowOff>
    </xdr:from>
    <xdr:to>
      <xdr:col>17</xdr:col>
      <xdr:colOff>228600</xdr:colOff>
      <xdr:row>25</xdr:row>
      <xdr:rowOff>22860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0460" y="2684780"/>
              <a:ext cx="3558540" cy="19545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297180</xdr:colOff>
      <xdr:row>2</xdr:row>
      <xdr:rowOff>175260</xdr:rowOff>
    </xdr:from>
    <xdr:to>
      <xdr:col>2</xdr:col>
      <xdr:colOff>259080</xdr:colOff>
      <xdr:row>7</xdr:row>
      <xdr:rowOff>147503</xdr:rowOff>
    </xdr:to>
    <xdr:pic>
      <xdr:nvPicPr>
        <xdr:cNvPr id="15" name="Picture 14" descr="RIL Reliance Industries Limited Logo PNG vector in SVG, PDF, AI, CDR format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180" y="541020"/>
          <a:ext cx="1181100" cy="886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9</xdr:row>
          <xdr:rowOff>50800</xdr:rowOff>
        </xdr:from>
        <xdr:to>
          <xdr:col>2</xdr:col>
          <xdr:colOff>203200</xdr:colOff>
          <xdr:row>10</xdr:row>
          <xdr:rowOff>107950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45720</xdr:colOff>
      <xdr:row>11</xdr:row>
      <xdr:rowOff>91440</xdr:rowOff>
    </xdr:from>
    <xdr:to>
      <xdr:col>1</xdr:col>
      <xdr:colOff>449580</xdr:colOff>
      <xdr:row>13</xdr:row>
      <xdr:rowOff>129540</xdr:rowOff>
    </xdr:to>
    <xdr:pic>
      <xdr:nvPicPr>
        <xdr:cNvPr id="10" name="Graphic 9" descr="Home with solid fill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55320" y="2103120"/>
          <a:ext cx="403860" cy="4038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22</xdr:row>
          <xdr:rowOff>184150</xdr:rowOff>
        </xdr:from>
        <xdr:to>
          <xdr:col>6</xdr:col>
          <xdr:colOff>908050</xdr:colOff>
          <xdr:row>23</xdr:row>
          <xdr:rowOff>184150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114300</xdr:colOff>
      <xdr:row>0</xdr:row>
      <xdr:rowOff>76200</xdr:rowOff>
    </xdr:from>
    <xdr:to>
      <xdr:col>13</xdr:col>
      <xdr:colOff>518160</xdr:colOff>
      <xdr:row>2</xdr:row>
      <xdr:rowOff>114300</xdr:rowOff>
    </xdr:to>
    <xdr:pic>
      <xdr:nvPicPr>
        <xdr:cNvPr id="2" name="Graphic 1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218420" y="76200"/>
          <a:ext cx="403860" cy="40386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BA2009DD-4795-4D91-BB9D-61246EED6FBC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  <extLst>
    <ext xmlns:x15="http://schemas.microsoft.com/office/spreadsheetml/2010/11/main" uri="{883FBD77-0823-4a55-B5E3-86C4891E6966}">
      <x15:queryTable sourceDataName="Query - Table 2 (2)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0F540978-B6B9-4663-B23A-DB3B59F0963F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  <extLst>
    <ext xmlns:x15="http://schemas.microsoft.com/office/spreadsheetml/2010/11/main" uri="{883FBD77-0823-4a55-B5E3-86C4891E6966}">
      <x15:queryTable sourceDataName="Query - Table 3 (2)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93AD70-D615-443B-81DC-3E8F47E43425}" name="Table_2__2" displayName="Table_2__2" ref="B2:C8" tableType="queryTable" totalsRowShown="0">
  <autoFilter ref="B2:C8" xr:uid="{1593AD70-D615-443B-81DC-3E8F47E43425}"/>
  <tableColumns count="2">
    <tableColumn id="1" xr3:uid="{6F2237E0-1F71-4165-8B62-BF91760DA23B}" uniqueName="1" name="Column1" queryTableFieldId="1" dataDxfId="7"/>
    <tableColumn id="2" xr3:uid="{E33F9664-87FD-4FAC-BCA3-6A9F5C3B9432}" uniqueName="2" name="Column2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DAB581-87B4-494C-9FA5-83E3536DAF50}" name="Table_3__2" displayName="Table_3__2" ref="E2:F8" tableType="queryTable" totalsRowShown="0">
  <autoFilter ref="E2:F8" xr:uid="{F9DAB581-87B4-494C-9FA5-83E3536DAF50}"/>
  <tableColumns count="2">
    <tableColumn id="1" xr3:uid="{350E380B-A14A-4D71-A1FE-AD2F1376073E}" uniqueName="1" name="Column1" queryTableFieldId="1" dataDxfId="6"/>
    <tableColumn id="2" xr3:uid="{22919415-748B-46E0-AD92-D8579A74CA65}" uniqueName="2" name="Column2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C9403C-94D7-4BA9-AE2B-52A8FEB9FA70}" name="Table1" displayName="Table1" ref="A1:E11" totalsRowShown="0">
  <autoFilter ref="A1:E11" xr:uid="{A5C9403C-94D7-4BA9-AE2B-52A8FEB9FA70}"/>
  <tableColumns count="5">
    <tableColumn id="1" xr3:uid="{6EF9B2C0-50F6-4E32-93B9-8FE1A3FD3A38}" name="Year"/>
    <tableColumn id="2" xr3:uid="{70500B96-1465-40DD-9F96-872F7004FFFF}" name="Sales"/>
    <tableColumn id="3" xr3:uid="{AEEC5E56-1C77-4D05-A7AD-15175D4BEA8C}" name="Forecast(Sales)" dataDxfId="5">
      <calculatedColumnFormula>_xlfn.FORECAST.ETS(A2,$B$2:$B$6,$A$2:$A$6,1,1)</calculatedColumnFormula>
    </tableColumn>
    <tableColumn id="4" xr3:uid="{20968416-5C0A-4CB5-8E2B-4EA50276D38E}" name="Lower Confidence Bound(Sales)" dataDxfId="4">
      <calculatedColumnFormula>C2-_xlfn.FORECAST.ETS.CONFINT(A2,$B$2:$B$6,$A$2:$A$6,0.95,1,1)</calculatedColumnFormula>
    </tableColumn>
    <tableColumn id="5" xr3:uid="{A604E450-8CFE-4707-A420-36943B9D75DF}" name="Upper Confidence Bound(Sales)" dataDxfId="3">
      <calculatedColumnFormula>C2+_xlfn.FORECAST.ETS.CONFINT(A2,$B$2:$B$6,$A$2:$A$6,0.95,1,1)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733EDD-8CC7-4313-B3FB-57DBC2B4DF42}" name="Table2" displayName="Table2" ref="A1:E11" totalsRowShown="0">
  <autoFilter ref="A1:E11" xr:uid="{A0733EDD-8CC7-4313-B3FB-57DBC2B4DF42}"/>
  <tableColumns count="5">
    <tableColumn id="1" xr3:uid="{88046957-7EA0-4B5F-B984-780F76197BC3}" name="Year"/>
    <tableColumn id="2" xr3:uid="{27308F45-7631-4FD4-A9A3-45FB799C5EDE}" name="Profits"/>
    <tableColumn id="3" xr3:uid="{ECB69F55-9641-4287-9298-3D7EDFCB0CB8}" name="Forecast(Profits)" dataDxfId="2">
      <calculatedColumnFormula>_xlfn.FORECAST.ETS(A2,$B$2:$B$6,$A$2:$A$6,1,1)</calculatedColumnFormula>
    </tableColumn>
    <tableColumn id="4" xr3:uid="{6FFD3105-635A-4587-BF3C-D5BD85BD1FE9}" name="Lower Confidence Bound(Profits)" dataDxfId="1">
      <calculatedColumnFormula>C2-_xlfn.FORECAST.ETS.CONFINT(A2,$B$2:$B$6,$A$2:$A$6,0.95,1,1)</calculatedColumnFormula>
    </tableColumn>
    <tableColumn id="5" xr3:uid="{F042D193-660F-42EF-A662-4E188899FC75}" name="Upper Confidence Bound(Profits)" dataDxfId="0">
      <calculatedColumnFormula>C2+_xlfn.FORECAST.ETS.CONFINT(A2,$B$2:$B$6,$A$2:$A$6,0.95,1,1)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DD354-FB60-4002-9345-40634C3A61C0}">
  <dimension ref="E1"/>
  <sheetViews>
    <sheetView showGridLines="0" workbookViewId="0"/>
  </sheetViews>
  <sheetFormatPr defaultRowHeight="14.5" x14ac:dyDescent="0.35"/>
  <sheetData>
    <row r="1" spans="5:5" x14ac:dyDescent="0.35">
      <c r="E1" s="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31DF4-200B-47D3-A29A-35B20AD99791}">
  <sheetPr codeName="Sheet1"/>
  <dimension ref="A1:G67"/>
  <sheetViews>
    <sheetView workbookViewId="0">
      <selection sqref="A1:F1"/>
    </sheetView>
  </sheetViews>
  <sheetFormatPr defaultRowHeight="14.5" x14ac:dyDescent="0.35"/>
  <cols>
    <col min="1" max="1" width="48.36328125" bestFit="1" customWidth="1"/>
    <col min="2" max="6" width="10.453125" bestFit="1" customWidth="1"/>
  </cols>
  <sheetData>
    <row r="1" spans="1:7" x14ac:dyDescent="0.35">
      <c r="A1" s="43" t="s">
        <v>0</v>
      </c>
      <c r="B1" s="43"/>
      <c r="C1" s="43"/>
      <c r="D1" s="43"/>
      <c r="E1" s="43"/>
      <c r="F1" s="43"/>
    </row>
    <row r="2" spans="1:7" x14ac:dyDescent="0.35">
      <c r="A2" s="4"/>
      <c r="B2" s="22">
        <v>44986</v>
      </c>
      <c r="C2" s="22">
        <v>44621</v>
      </c>
      <c r="D2" s="22">
        <v>44256</v>
      </c>
      <c r="E2" s="22">
        <v>43891</v>
      </c>
      <c r="F2" s="22">
        <v>43525</v>
      </c>
      <c r="G2" s="7" t="s">
        <v>1</v>
      </c>
    </row>
    <row r="3" spans="1:7" x14ac:dyDescent="0.35">
      <c r="A3" s="6" t="s">
        <v>1</v>
      </c>
      <c r="B3" s="6" t="s">
        <v>2</v>
      </c>
      <c r="C3" s="6" t="s">
        <v>2</v>
      </c>
      <c r="D3" s="6" t="s">
        <v>2</v>
      </c>
      <c r="E3" s="6" t="s">
        <v>2</v>
      </c>
      <c r="F3" s="6" t="s">
        <v>2</v>
      </c>
      <c r="G3" s="7" t="s">
        <v>1</v>
      </c>
    </row>
    <row r="4" spans="1:7" x14ac:dyDescent="0.35">
      <c r="A4" s="4" t="s">
        <v>3</v>
      </c>
      <c r="B4" s="4"/>
      <c r="C4" s="4"/>
      <c r="D4" s="4"/>
      <c r="E4" s="4"/>
      <c r="F4" s="4"/>
      <c r="G4" t="s">
        <v>1</v>
      </c>
    </row>
    <row r="5" spans="1:7" x14ac:dyDescent="0.35">
      <c r="A5" s="4" t="s">
        <v>4</v>
      </c>
      <c r="B5" s="4"/>
      <c r="C5" s="4"/>
      <c r="D5" s="4"/>
      <c r="E5" s="4"/>
      <c r="F5" s="4"/>
      <c r="G5" t="s">
        <v>1</v>
      </c>
    </row>
    <row r="6" spans="1:7" x14ac:dyDescent="0.35">
      <c r="A6" s="4" t="s">
        <v>5</v>
      </c>
      <c r="B6" s="5">
        <v>6766</v>
      </c>
      <c r="C6" s="5">
        <v>6765</v>
      </c>
      <c r="D6" s="5">
        <v>6445</v>
      </c>
      <c r="E6" s="5">
        <v>6339</v>
      </c>
      <c r="F6" s="5">
        <v>6339</v>
      </c>
      <c r="G6" t="s">
        <v>1</v>
      </c>
    </row>
    <row r="7" spans="1:7" x14ac:dyDescent="0.35">
      <c r="A7" s="4" t="s">
        <v>6</v>
      </c>
      <c r="B7" s="5">
        <v>6766</v>
      </c>
      <c r="C7" s="5">
        <v>6765</v>
      </c>
      <c r="D7" s="5">
        <v>6445</v>
      </c>
      <c r="E7" s="5">
        <v>6339</v>
      </c>
      <c r="F7" s="5">
        <v>6339</v>
      </c>
      <c r="G7" t="s">
        <v>1</v>
      </c>
    </row>
    <row r="8" spans="1:7" x14ac:dyDescent="0.35">
      <c r="A8" s="4" t="s">
        <v>7</v>
      </c>
      <c r="B8" s="5">
        <v>472328</v>
      </c>
      <c r="C8" s="5">
        <v>464762</v>
      </c>
      <c r="D8" s="5">
        <v>468038</v>
      </c>
      <c r="E8" s="5">
        <v>384875</v>
      </c>
      <c r="F8" s="5">
        <v>398983</v>
      </c>
      <c r="G8" t="s">
        <v>1</v>
      </c>
    </row>
    <row r="9" spans="1:7" x14ac:dyDescent="0.35">
      <c r="A9" s="4" t="s">
        <v>8</v>
      </c>
      <c r="B9" s="5">
        <v>472328</v>
      </c>
      <c r="C9" s="5">
        <v>464762</v>
      </c>
      <c r="D9" s="5">
        <v>468038</v>
      </c>
      <c r="E9" s="5">
        <v>384875</v>
      </c>
      <c r="F9" s="5">
        <v>398983</v>
      </c>
      <c r="G9" t="s">
        <v>1</v>
      </c>
    </row>
    <row r="10" spans="1:7" x14ac:dyDescent="0.35">
      <c r="A10" s="4" t="s">
        <v>9</v>
      </c>
      <c r="B10" s="5">
        <v>479094</v>
      </c>
      <c r="C10" s="5">
        <v>471527</v>
      </c>
      <c r="D10" s="5">
        <v>474483</v>
      </c>
      <c r="E10" s="5">
        <v>391214</v>
      </c>
      <c r="F10" s="5">
        <v>405322</v>
      </c>
      <c r="G10" t="s">
        <v>1</v>
      </c>
    </row>
    <row r="11" spans="1:7" x14ac:dyDescent="0.35">
      <c r="A11" s="4" t="s">
        <v>10</v>
      </c>
      <c r="B11" s="4"/>
      <c r="C11" s="4"/>
      <c r="D11" s="4"/>
      <c r="E11" s="4"/>
      <c r="F11" s="4"/>
      <c r="G11" t="s">
        <v>1</v>
      </c>
    </row>
    <row r="12" spans="1:7" x14ac:dyDescent="0.35">
      <c r="A12" s="4" t="s">
        <v>11</v>
      </c>
      <c r="B12" s="5">
        <v>135561</v>
      </c>
      <c r="C12" s="5">
        <v>167231</v>
      </c>
      <c r="D12" s="5">
        <v>160598</v>
      </c>
      <c r="E12" s="5">
        <v>194402</v>
      </c>
      <c r="F12" s="5">
        <v>118098</v>
      </c>
      <c r="G12" t="s">
        <v>1</v>
      </c>
    </row>
    <row r="13" spans="1:7" x14ac:dyDescent="0.35">
      <c r="A13" s="4" t="s">
        <v>12</v>
      </c>
      <c r="B13" s="5">
        <v>33968</v>
      </c>
      <c r="C13" s="5">
        <v>30832</v>
      </c>
      <c r="D13" s="5">
        <v>30788</v>
      </c>
      <c r="E13" s="5">
        <v>50556</v>
      </c>
      <c r="F13" s="5">
        <v>47317</v>
      </c>
      <c r="G13" t="s">
        <v>1</v>
      </c>
    </row>
    <row r="14" spans="1:7" x14ac:dyDescent="0.35">
      <c r="A14" s="4" t="s">
        <v>13</v>
      </c>
      <c r="B14" s="5">
        <v>3370</v>
      </c>
      <c r="C14" s="5">
        <v>6504</v>
      </c>
      <c r="D14" s="5">
        <v>4518</v>
      </c>
      <c r="E14" s="5">
        <v>3434</v>
      </c>
      <c r="F14" s="4">
        <v>504</v>
      </c>
      <c r="G14" t="s">
        <v>1</v>
      </c>
    </row>
    <row r="15" spans="1:7" x14ac:dyDescent="0.35">
      <c r="A15" s="4" t="s">
        <v>14</v>
      </c>
      <c r="B15" s="5">
        <v>1296</v>
      </c>
      <c r="C15" s="5">
        <v>1598</v>
      </c>
      <c r="D15" s="5">
        <v>1499</v>
      </c>
      <c r="E15" s="5">
        <v>1410</v>
      </c>
      <c r="F15" s="5">
        <v>2483</v>
      </c>
      <c r="G15" t="s">
        <v>1</v>
      </c>
    </row>
    <row r="16" spans="1:7" x14ac:dyDescent="0.35">
      <c r="A16" s="4" t="s">
        <v>15</v>
      </c>
      <c r="B16" s="5">
        <v>174195</v>
      </c>
      <c r="C16" s="5">
        <v>206165</v>
      </c>
      <c r="D16" s="5">
        <v>197403</v>
      </c>
      <c r="E16" s="5">
        <v>249802</v>
      </c>
      <c r="F16" s="5">
        <v>168402</v>
      </c>
      <c r="G16" t="s">
        <v>1</v>
      </c>
    </row>
    <row r="17" spans="1:7" x14ac:dyDescent="0.35">
      <c r="A17" s="4" t="s">
        <v>16</v>
      </c>
      <c r="B17" s="4"/>
      <c r="C17" s="4"/>
      <c r="D17" s="4"/>
      <c r="E17" s="4"/>
      <c r="F17" s="4"/>
      <c r="G17" t="s">
        <v>1</v>
      </c>
    </row>
    <row r="18" spans="1:7" x14ac:dyDescent="0.35">
      <c r="A18" s="4" t="s">
        <v>17</v>
      </c>
      <c r="B18" s="5">
        <v>80262</v>
      </c>
      <c r="C18" s="5">
        <v>27332</v>
      </c>
      <c r="D18" s="5">
        <v>33152</v>
      </c>
      <c r="E18" s="5">
        <v>59899</v>
      </c>
      <c r="F18" s="5">
        <v>39097</v>
      </c>
      <c r="G18" t="s">
        <v>1</v>
      </c>
    </row>
    <row r="19" spans="1:7" x14ac:dyDescent="0.35">
      <c r="A19" s="4" t="s">
        <v>18</v>
      </c>
      <c r="B19" s="5">
        <v>110722</v>
      </c>
      <c r="C19" s="5">
        <v>134005</v>
      </c>
      <c r="D19" s="5">
        <v>86999</v>
      </c>
      <c r="E19" s="5">
        <v>71048</v>
      </c>
      <c r="F19" s="5">
        <v>88241</v>
      </c>
      <c r="G19" t="s">
        <v>1</v>
      </c>
    </row>
    <row r="20" spans="1:7" x14ac:dyDescent="0.35">
      <c r="A20" s="4" t="s">
        <v>19</v>
      </c>
      <c r="B20" s="5">
        <v>45366</v>
      </c>
      <c r="C20" s="5">
        <v>38749</v>
      </c>
      <c r="D20" s="5">
        <v>80735</v>
      </c>
      <c r="E20" s="5">
        <v>198662</v>
      </c>
      <c r="F20" s="5">
        <v>73900</v>
      </c>
      <c r="G20" t="s">
        <v>1</v>
      </c>
    </row>
    <row r="21" spans="1:7" x14ac:dyDescent="0.35">
      <c r="A21" s="4" t="s">
        <v>20</v>
      </c>
      <c r="B21" s="4">
        <v>926</v>
      </c>
      <c r="C21" s="4">
        <v>896</v>
      </c>
      <c r="D21" s="4">
        <v>901</v>
      </c>
      <c r="E21" s="5">
        <v>1073</v>
      </c>
      <c r="F21" s="4">
        <v>783</v>
      </c>
      <c r="G21" t="s">
        <v>1</v>
      </c>
    </row>
    <row r="22" spans="1:7" x14ac:dyDescent="0.35">
      <c r="A22" s="4" t="s">
        <v>21</v>
      </c>
      <c r="B22" s="5">
        <v>237276</v>
      </c>
      <c r="C22" s="5">
        <v>200982</v>
      </c>
      <c r="D22" s="5">
        <v>201787</v>
      </c>
      <c r="E22" s="5">
        <v>330682</v>
      </c>
      <c r="F22" s="5">
        <v>202021</v>
      </c>
      <c r="G22" t="s">
        <v>1</v>
      </c>
    </row>
    <row r="23" spans="1:7" x14ac:dyDescent="0.35">
      <c r="A23" s="4" t="s">
        <v>22</v>
      </c>
      <c r="B23" s="5">
        <v>890565</v>
      </c>
      <c r="C23" s="5">
        <v>878674</v>
      </c>
      <c r="D23" s="5">
        <v>873673</v>
      </c>
      <c r="E23" s="5">
        <v>971699</v>
      </c>
      <c r="F23" s="5">
        <v>775745</v>
      </c>
      <c r="G23" t="s">
        <v>1</v>
      </c>
    </row>
    <row r="24" spans="1:7" x14ac:dyDescent="0.35">
      <c r="A24" s="4" t="s">
        <v>23</v>
      </c>
      <c r="B24" s="4"/>
      <c r="C24" s="4"/>
      <c r="D24" s="4"/>
      <c r="E24" s="4"/>
      <c r="F24" s="4"/>
      <c r="G24" t="s">
        <v>1</v>
      </c>
    </row>
    <row r="25" spans="1:7" x14ac:dyDescent="0.35">
      <c r="A25" s="4" t="s">
        <v>24</v>
      </c>
      <c r="B25" s="4"/>
      <c r="C25" s="4"/>
      <c r="D25" s="4"/>
      <c r="E25" s="4"/>
      <c r="F25" s="4"/>
      <c r="G25" t="s">
        <v>1</v>
      </c>
    </row>
    <row r="26" spans="1:7" x14ac:dyDescent="0.35">
      <c r="A26" s="4" t="s">
        <v>25</v>
      </c>
      <c r="B26" s="5">
        <v>232238</v>
      </c>
      <c r="C26" s="5">
        <v>223824</v>
      </c>
      <c r="D26" s="5">
        <v>292092</v>
      </c>
      <c r="E26" s="5">
        <v>297854</v>
      </c>
      <c r="F26" s="5">
        <v>194895</v>
      </c>
      <c r="G26" t="s">
        <v>1</v>
      </c>
    </row>
    <row r="27" spans="1:7" x14ac:dyDescent="0.35">
      <c r="A27" s="4" t="s">
        <v>26</v>
      </c>
      <c r="B27" s="5">
        <v>12926</v>
      </c>
      <c r="C27" s="5">
        <v>15802</v>
      </c>
      <c r="D27" s="5">
        <v>14741</v>
      </c>
      <c r="E27" s="5">
        <v>8624</v>
      </c>
      <c r="F27" s="5">
        <v>8293</v>
      </c>
      <c r="G27" t="s">
        <v>1</v>
      </c>
    </row>
    <row r="28" spans="1:7" x14ac:dyDescent="0.35">
      <c r="A28" s="4" t="s">
        <v>27</v>
      </c>
      <c r="B28" s="5">
        <v>30958</v>
      </c>
      <c r="C28" s="5">
        <v>19267</v>
      </c>
      <c r="D28" s="5">
        <v>20765</v>
      </c>
      <c r="E28" s="5">
        <v>15638</v>
      </c>
      <c r="F28" s="5">
        <v>105155</v>
      </c>
      <c r="G28" t="s">
        <v>1</v>
      </c>
    </row>
    <row r="29" spans="1:7" x14ac:dyDescent="0.35">
      <c r="A29" s="4" t="s">
        <v>28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t="s">
        <v>1</v>
      </c>
    </row>
    <row r="30" spans="1:7" x14ac:dyDescent="0.35">
      <c r="A30" s="4" t="s">
        <v>29</v>
      </c>
      <c r="B30" s="5">
        <v>294079</v>
      </c>
      <c r="C30" s="5">
        <v>274288</v>
      </c>
      <c r="D30" s="5">
        <v>339668</v>
      </c>
      <c r="E30" s="5">
        <v>334443</v>
      </c>
      <c r="F30" s="5">
        <v>314745</v>
      </c>
      <c r="G30" t="s">
        <v>1</v>
      </c>
    </row>
    <row r="31" spans="1:7" x14ac:dyDescent="0.35">
      <c r="A31" s="4" t="s">
        <v>30</v>
      </c>
      <c r="B31" s="5">
        <v>303558</v>
      </c>
      <c r="C31" s="5">
        <v>330493</v>
      </c>
      <c r="D31" s="5">
        <v>252620</v>
      </c>
      <c r="E31" s="5">
        <v>421793</v>
      </c>
      <c r="F31" s="5">
        <v>272043</v>
      </c>
      <c r="G31" t="s">
        <v>1</v>
      </c>
    </row>
    <row r="32" spans="1:7" x14ac:dyDescent="0.35">
      <c r="A32" s="4" t="s">
        <v>31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t="s">
        <v>1</v>
      </c>
    </row>
    <row r="33" spans="1:7" x14ac:dyDescent="0.35">
      <c r="A33" s="4" t="s">
        <v>32</v>
      </c>
      <c r="B33" s="5">
        <v>22448</v>
      </c>
      <c r="C33" s="5">
        <v>41951</v>
      </c>
      <c r="D33" s="5">
        <v>65698</v>
      </c>
      <c r="E33" s="5">
        <v>44348</v>
      </c>
      <c r="F33" s="5">
        <v>31806</v>
      </c>
      <c r="G33" t="s">
        <v>1</v>
      </c>
    </row>
    <row r="34" spans="1:7" x14ac:dyDescent="0.35">
      <c r="A34" s="4" t="s">
        <v>33</v>
      </c>
      <c r="B34" s="5">
        <v>4548</v>
      </c>
      <c r="C34" s="5">
        <v>9544</v>
      </c>
      <c r="D34" s="5">
        <v>4968</v>
      </c>
      <c r="E34" s="5">
        <v>4461</v>
      </c>
      <c r="F34" s="5">
        <v>4287</v>
      </c>
      <c r="G34" t="s">
        <v>1</v>
      </c>
    </row>
    <row r="35" spans="1:7" x14ac:dyDescent="0.35">
      <c r="A35" s="4" t="s">
        <v>34</v>
      </c>
      <c r="B35" s="5">
        <v>624633</v>
      </c>
      <c r="C35" s="5">
        <v>656276</v>
      </c>
      <c r="D35" s="5">
        <v>662954</v>
      </c>
      <c r="E35" s="5">
        <v>805045</v>
      </c>
      <c r="F35" s="5">
        <v>622881</v>
      </c>
      <c r="G35" t="s">
        <v>1</v>
      </c>
    </row>
    <row r="36" spans="1:7" x14ac:dyDescent="0.35">
      <c r="A36" s="4" t="s">
        <v>35</v>
      </c>
      <c r="B36" s="4"/>
      <c r="C36" s="4"/>
      <c r="D36" s="4"/>
      <c r="E36" s="4"/>
      <c r="F36" s="4"/>
      <c r="G36" t="s">
        <v>1</v>
      </c>
    </row>
    <row r="37" spans="1:7" x14ac:dyDescent="0.35">
      <c r="A37" s="4" t="s">
        <v>36</v>
      </c>
      <c r="B37" s="5">
        <v>86074</v>
      </c>
      <c r="C37" s="5">
        <v>78304</v>
      </c>
      <c r="D37" s="5">
        <v>94665</v>
      </c>
      <c r="E37" s="5">
        <v>70030</v>
      </c>
      <c r="F37" s="5">
        <v>59640</v>
      </c>
      <c r="G37" t="s">
        <v>1</v>
      </c>
    </row>
    <row r="38" spans="1:7" x14ac:dyDescent="0.35">
      <c r="A38" s="4" t="s">
        <v>37</v>
      </c>
      <c r="B38" s="5">
        <v>48926</v>
      </c>
      <c r="C38" s="5">
        <v>45923</v>
      </c>
      <c r="D38" s="5">
        <v>37437</v>
      </c>
      <c r="E38" s="5">
        <v>38802</v>
      </c>
      <c r="F38" s="5">
        <v>44144</v>
      </c>
      <c r="G38" t="s">
        <v>1</v>
      </c>
    </row>
    <row r="39" spans="1:7" x14ac:dyDescent="0.35">
      <c r="A39" s="4" t="s">
        <v>38</v>
      </c>
      <c r="B39" s="5">
        <v>16898</v>
      </c>
      <c r="C39" s="5">
        <v>14394</v>
      </c>
      <c r="D39" s="5">
        <v>4159</v>
      </c>
      <c r="E39" s="5">
        <v>7483</v>
      </c>
      <c r="F39" s="5">
        <v>12110</v>
      </c>
      <c r="G39" t="s">
        <v>1</v>
      </c>
    </row>
    <row r="40" spans="1:7" x14ac:dyDescent="0.35">
      <c r="A40" s="4" t="s">
        <v>39</v>
      </c>
      <c r="B40" s="5">
        <v>56811</v>
      </c>
      <c r="C40" s="5">
        <v>21714</v>
      </c>
      <c r="D40" s="5">
        <v>5573</v>
      </c>
      <c r="E40" s="5">
        <v>8485</v>
      </c>
      <c r="F40" s="5">
        <v>3768</v>
      </c>
      <c r="G40" t="s">
        <v>1</v>
      </c>
    </row>
    <row r="41" spans="1:7" x14ac:dyDescent="0.35">
      <c r="A41" s="4" t="s">
        <v>40</v>
      </c>
      <c r="B41" s="4">
        <v>595</v>
      </c>
      <c r="C41" s="4">
        <v>161</v>
      </c>
      <c r="D41" s="4">
        <v>993</v>
      </c>
      <c r="E41" s="5">
        <v>15028</v>
      </c>
      <c r="F41" s="5">
        <v>4876</v>
      </c>
      <c r="G41" t="s">
        <v>1</v>
      </c>
    </row>
    <row r="42" spans="1:7" x14ac:dyDescent="0.35">
      <c r="A42" s="4" t="s">
        <v>41</v>
      </c>
      <c r="B42" s="5">
        <v>56628</v>
      </c>
      <c r="C42" s="5">
        <v>61902</v>
      </c>
      <c r="D42" s="5">
        <v>67892</v>
      </c>
      <c r="E42" s="5">
        <v>26826</v>
      </c>
      <c r="F42" s="5">
        <v>28326</v>
      </c>
      <c r="G42" t="s">
        <v>1</v>
      </c>
    </row>
    <row r="43" spans="1:7" x14ac:dyDescent="0.35">
      <c r="A43" s="4" t="s">
        <v>42</v>
      </c>
      <c r="B43" s="5">
        <v>265932</v>
      </c>
      <c r="C43" s="5">
        <v>222398</v>
      </c>
      <c r="D43" s="5">
        <v>210719</v>
      </c>
      <c r="E43" s="5">
        <v>166654</v>
      </c>
      <c r="F43" s="5">
        <v>152864</v>
      </c>
      <c r="G43" t="s">
        <v>1</v>
      </c>
    </row>
    <row r="44" spans="1:7" x14ac:dyDescent="0.35">
      <c r="A44" s="4" t="s">
        <v>43</v>
      </c>
      <c r="B44" s="5">
        <v>890565</v>
      </c>
      <c r="C44" s="5">
        <v>878674</v>
      </c>
      <c r="D44" s="5">
        <v>873673</v>
      </c>
      <c r="E44" s="5">
        <v>971699</v>
      </c>
      <c r="F44" s="5">
        <v>775745</v>
      </c>
      <c r="G44" t="s">
        <v>1</v>
      </c>
    </row>
    <row r="45" spans="1:7" x14ac:dyDescent="0.35">
      <c r="A45" s="4" t="s">
        <v>44</v>
      </c>
      <c r="B45" s="4"/>
      <c r="C45" s="4"/>
      <c r="D45" s="4"/>
      <c r="E45" s="4"/>
      <c r="F45" s="4"/>
      <c r="G45" t="s">
        <v>1</v>
      </c>
    </row>
    <row r="46" spans="1:7" x14ac:dyDescent="0.35">
      <c r="A46" s="4" t="s">
        <v>45</v>
      </c>
      <c r="B46" s="4"/>
      <c r="C46" s="4"/>
      <c r="D46" s="4"/>
      <c r="E46" s="4"/>
      <c r="F46" s="4"/>
      <c r="G46" t="s">
        <v>1</v>
      </c>
    </row>
    <row r="47" spans="1:7" x14ac:dyDescent="0.35">
      <c r="A47" s="4" t="s">
        <v>46</v>
      </c>
      <c r="B47" s="5">
        <v>27421</v>
      </c>
      <c r="C47" s="5">
        <v>30426</v>
      </c>
      <c r="D47" s="5">
        <v>25921</v>
      </c>
      <c r="E47" s="5">
        <v>45924</v>
      </c>
      <c r="F47" s="5">
        <v>111869</v>
      </c>
      <c r="G47" t="s">
        <v>1</v>
      </c>
    </row>
    <row r="48" spans="1:7" x14ac:dyDescent="0.35">
      <c r="A48" s="4" t="s">
        <v>47</v>
      </c>
      <c r="B48" s="4"/>
      <c r="C48" s="4"/>
      <c r="D48" s="4"/>
      <c r="E48" s="4"/>
      <c r="F48" s="4"/>
      <c r="G48" t="s">
        <v>1</v>
      </c>
    </row>
    <row r="49" spans="1:7" x14ac:dyDescent="0.35">
      <c r="A49" s="4" t="s">
        <v>48</v>
      </c>
      <c r="B49" s="4">
        <v>0</v>
      </c>
      <c r="C49" s="4">
        <v>0</v>
      </c>
      <c r="D49" s="4">
        <v>0</v>
      </c>
      <c r="E49" s="4">
        <v>0</v>
      </c>
      <c r="F49" s="4">
        <v>0</v>
      </c>
      <c r="G49" t="s">
        <v>1</v>
      </c>
    </row>
    <row r="50" spans="1:7" x14ac:dyDescent="0.35">
      <c r="A50" s="4" t="s">
        <v>49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t="s">
        <v>1</v>
      </c>
    </row>
    <row r="51" spans="1:7" x14ac:dyDescent="0.35">
      <c r="A51" s="4" t="s">
        <v>50</v>
      </c>
      <c r="B51" s="4">
        <v>0</v>
      </c>
      <c r="C51" s="4">
        <v>0</v>
      </c>
      <c r="D51" s="4">
        <v>0</v>
      </c>
      <c r="E51" s="4">
        <v>0</v>
      </c>
      <c r="F51" s="4">
        <v>0</v>
      </c>
      <c r="G51" t="s">
        <v>1</v>
      </c>
    </row>
    <row r="52" spans="1:7" x14ac:dyDescent="0.35">
      <c r="A52" s="4" t="s">
        <v>51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t="s">
        <v>1</v>
      </c>
    </row>
    <row r="53" spans="1:7" x14ac:dyDescent="0.35">
      <c r="A53" s="4" t="s">
        <v>52</v>
      </c>
      <c r="B53" s="4"/>
      <c r="C53" s="4"/>
      <c r="D53" s="4"/>
      <c r="E53" s="4"/>
      <c r="F53" s="4"/>
      <c r="G53" t="s">
        <v>1</v>
      </c>
    </row>
    <row r="54" spans="1:7" x14ac:dyDescent="0.35">
      <c r="A54" s="4" t="s">
        <v>53</v>
      </c>
      <c r="B54" s="5">
        <v>413231</v>
      </c>
      <c r="C54" s="5">
        <v>321119</v>
      </c>
      <c r="D54" s="5">
        <v>134436</v>
      </c>
      <c r="E54" s="5">
        <v>260280</v>
      </c>
      <c r="F54" s="5">
        <v>307558</v>
      </c>
      <c r="G54" t="s">
        <v>1</v>
      </c>
    </row>
    <row r="55" spans="1:7" x14ac:dyDescent="0.35">
      <c r="A55" s="4" t="s">
        <v>54</v>
      </c>
      <c r="B55" s="4"/>
      <c r="C55" s="4"/>
      <c r="D55" s="4"/>
      <c r="E55" s="4"/>
      <c r="F55" s="4"/>
      <c r="G55" t="s">
        <v>1</v>
      </c>
    </row>
    <row r="56" spans="1:7" x14ac:dyDescent="0.35">
      <c r="A56" s="4" t="s">
        <v>55</v>
      </c>
      <c r="B56" s="4" t="s">
        <v>56</v>
      </c>
      <c r="C56" s="4" t="s">
        <v>56</v>
      </c>
      <c r="D56" s="4" t="s">
        <v>56</v>
      </c>
      <c r="E56" s="4" t="s">
        <v>56</v>
      </c>
      <c r="F56" s="4" t="s">
        <v>56</v>
      </c>
      <c r="G56" t="s">
        <v>1</v>
      </c>
    </row>
    <row r="57" spans="1:7" x14ac:dyDescent="0.35">
      <c r="A57" s="4" t="s">
        <v>57</v>
      </c>
      <c r="B57" s="4"/>
      <c r="C57" s="4"/>
      <c r="D57" s="4"/>
      <c r="E57" s="4"/>
      <c r="F57" s="4"/>
      <c r="G57" t="s">
        <v>1</v>
      </c>
    </row>
    <row r="58" spans="1:7" x14ac:dyDescent="0.35">
      <c r="A58" s="4" t="s">
        <v>58</v>
      </c>
      <c r="B58" s="4" t="s">
        <v>56</v>
      </c>
      <c r="C58" s="4" t="s">
        <v>56</v>
      </c>
      <c r="D58" s="4" t="s">
        <v>56</v>
      </c>
      <c r="E58" s="4" t="s">
        <v>56</v>
      </c>
      <c r="F58" s="4" t="s">
        <v>56</v>
      </c>
      <c r="G58" t="s">
        <v>1</v>
      </c>
    </row>
    <row r="59" spans="1:7" x14ac:dyDescent="0.35">
      <c r="A59" s="4" t="s">
        <v>59</v>
      </c>
      <c r="B59" s="5">
        <v>576842</v>
      </c>
      <c r="C59" s="5">
        <v>245752</v>
      </c>
      <c r="D59" s="5">
        <v>179929</v>
      </c>
      <c r="E59" s="5">
        <v>284196</v>
      </c>
      <c r="F59" s="5">
        <v>214337</v>
      </c>
      <c r="G59" t="s">
        <v>1</v>
      </c>
    </row>
    <row r="60" spans="1:7" x14ac:dyDescent="0.35">
      <c r="A60" s="4" t="s">
        <v>60</v>
      </c>
      <c r="B60" s="4"/>
      <c r="C60" s="4"/>
      <c r="D60" s="4"/>
      <c r="E60" s="4"/>
      <c r="F60" s="4"/>
      <c r="G60" t="s">
        <v>1</v>
      </c>
    </row>
    <row r="61" spans="1:7" x14ac:dyDescent="0.35">
      <c r="A61" s="4" t="s">
        <v>61</v>
      </c>
      <c r="B61" s="5">
        <v>5188.8900000000003</v>
      </c>
      <c r="C61" s="5">
        <v>5188.8900000000003</v>
      </c>
      <c r="D61" s="5">
        <v>5188.8900000000003</v>
      </c>
      <c r="E61" s="5">
        <v>5188.8900000000003</v>
      </c>
      <c r="F61" s="5">
        <v>5188.8900000000003</v>
      </c>
      <c r="G61" t="s">
        <v>1</v>
      </c>
    </row>
    <row r="62" spans="1:7" x14ac:dyDescent="0.35">
      <c r="A62" s="4" t="s">
        <v>62</v>
      </c>
      <c r="B62" s="4"/>
      <c r="C62" s="4"/>
      <c r="D62" s="4"/>
      <c r="E62" s="4"/>
      <c r="F62" s="4"/>
      <c r="G62" t="s">
        <v>1</v>
      </c>
    </row>
    <row r="63" spans="1:7" x14ac:dyDescent="0.35">
      <c r="A63" s="4" t="s">
        <v>63</v>
      </c>
      <c r="B63" s="5">
        <v>2934</v>
      </c>
      <c r="C63" s="5">
        <v>62401</v>
      </c>
      <c r="D63" s="5">
        <v>21240</v>
      </c>
      <c r="E63" s="5">
        <v>27475</v>
      </c>
      <c r="F63" s="5">
        <v>12937</v>
      </c>
      <c r="G63" t="s">
        <v>1</v>
      </c>
    </row>
    <row r="64" spans="1:7" x14ac:dyDescent="0.35">
      <c r="A64" s="4" t="s">
        <v>64</v>
      </c>
      <c r="B64" s="5">
        <v>303180</v>
      </c>
      <c r="C64" s="5">
        <v>273377</v>
      </c>
      <c r="D64" s="5">
        <v>235348</v>
      </c>
      <c r="E64" s="5">
        <v>394521</v>
      </c>
      <c r="F64" s="5">
        <v>259314</v>
      </c>
      <c r="G64" t="s">
        <v>1</v>
      </c>
    </row>
    <row r="65" spans="1:7" x14ac:dyDescent="0.35">
      <c r="A65" s="4" t="s">
        <v>65</v>
      </c>
      <c r="B65" s="4"/>
      <c r="C65" s="4"/>
      <c r="D65" s="4"/>
      <c r="E65" s="4"/>
      <c r="F65" s="4"/>
      <c r="G65" t="s">
        <v>1</v>
      </c>
    </row>
    <row r="66" spans="1:7" x14ac:dyDescent="0.35">
      <c r="A66" s="4" t="s">
        <v>66</v>
      </c>
      <c r="B66" s="5">
        <v>65984</v>
      </c>
      <c r="C66" s="5">
        <v>21471</v>
      </c>
      <c r="D66" s="5">
        <v>36303</v>
      </c>
      <c r="E66" s="5">
        <v>31814</v>
      </c>
      <c r="F66" s="5">
        <v>24017</v>
      </c>
      <c r="G66" t="s">
        <v>1</v>
      </c>
    </row>
    <row r="67" spans="1:7" x14ac:dyDescent="0.35">
      <c r="A67" s="4" t="s">
        <v>67</v>
      </c>
      <c r="B67" s="5">
        <v>20090</v>
      </c>
      <c r="C67" s="5">
        <v>56833</v>
      </c>
      <c r="D67" s="5">
        <v>58362</v>
      </c>
      <c r="E67" s="5">
        <v>38216</v>
      </c>
      <c r="F67" s="5">
        <v>35623</v>
      </c>
      <c r="G67" t="s">
        <v>1</v>
      </c>
    </row>
  </sheetData>
  <mergeCells count="1">
    <mergeCell ref="A1:F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432A7-758B-4363-8056-AC55EB0F7FA0}">
  <sheetPr codeName="Sheet2"/>
  <dimension ref="A2:F53"/>
  <sheetViews>
    <sheetView workbookViewId="0">
      <selection activeCell="H10" sqref="H10"/>
    </sheetView>
  </sheetViews>
  <sheetFormatPr defaultRowHeight="14.5" x14ac:dyDescent="0.35"/>
  <cols>
    <col min="1" max="1" width="50.90625" bestFit="1" customWidth="1"/>
    <col min="2" max="6" width="10.453125" bestFit="1" customWidth="1"/>
  </cols>
  <sheetData>
    <row r="2" spans="1:6" x14ac:dyDescent="0.35">
      <c r="A2" s="43" t="s">
        <v>150</v>
      </c>
      <c r="B2" s="43"/>
      <c r="C2" s="43"/>
      <c r="D2" s="43"/>
      <c r="E2" s="43"/>
      <c r="F2" s="43"/>
    </row>
    <row r="3" spans="1:6" x14ac:dyDescent="0.35">
      <c r="A3" s="6" t="s">
        <v>1</v>
      </c>
      <c r="B3" s="22">
        <v>44986</v>
      </c>
      <c r="C3" s="22">
        <v>44621</v>
      </c>
      <c r="D3" s="22">
        <v>44256</v>
      </c>
      <c r="E3" s="22">
        <v>43891</v>
      </c>
      <c r="F3" s="22">
        <v>43525</v>
      </c>
    </row>
    <row r="4" spans="1:6" s="7" customFormat="1" x14ac:dyDescent="0.35">
      <c r="A4" s="6" t="s">
        <v>1</v>
      </c>
      <c r="B4" s="6" t="s">
        <v>2</v>
      </c>
      <c r="C4" s="6" t="s">
        <v>2</v>
      </c>
      <c r="D4" s="6" t="s">
        <v>2</v>
      </c>
      <c r="E4" s="6" t="s">
        <v>2</v>
      </c>
      <c r="F4" s="6" t="s">
        <v>2</v>
      </c>
    </row>
    <row r="5" spans="1:6" x14ac:dyDescent="0.35">
      <c r="A5" s="4" t="s">
        <v>68</v>
      </c>
      <c r="B5" s="4"/>
      <c r="C5" s="4"/>
      <c r="D5" s="4"/>
      <c r="E5" s="4"/>
      <c r="F5" s="4"/>
    </row>
    <row r="6" spans="1:6" x14ac:dyDescent="0.35">
      <c r="A6" s="4" t="s">
        <v>69</v>
      </c>
      <c r="B6" s="5">
        <v>565347</v>
      </c>
      <c r="C6" s="5">
        <v>466425</v>
      </c>
      <c r="D6" s="5">
        <v>278940</v>
      </c>
      <c r="E6" s="5">
        <v>366177</v>
      </c>
      <c r="F6" s="5">
        <v>401583</v>
      </c>
    </row>
    <row r="7" spans="1:6" x14ac:dyDescent="0.35">
      <c r="A7" s="4" t="s">
        <v>70</v>
      </c>
      <c r="B7" s="5">
        <v>37032</v>
      </c>
      <c r="C7" s="5">
        <v>42722</v>
      </c>
      <c r="D7" s="5">
        <v>33273</v>
      </c>
      <c r="E7" s="5">
        <v>29224</v>
      </c>
      <c r="F7" s="5">
        <v>29967</v>
      </c>
    </row>
    <row r="8" spans="1:6" x14ac:dyDescent="0.35">
      <c r="A8" s="4" t="s">
        <v>71</v>
      </c>
      <c r="B8" s="5">
        <v>528315</v>
      </c>
      <c r="C8" s="5">
        <v>423703</v>
      </c>
      <c r="D8" s="5">
        <v>245667</v>
      </c>
      <c r="E8" s="5">
        <v>336953</v>
      </c>
      <c r="F8" s="5">
        <v>371616</v>
      </c>
    </row>
    <row r="9" spans="1:6" x14ac:dyDescent="0.35">
      <c r="A9" s="4" t="s">
        <v>72</v>
      </c>
      <c r="B9" s="5">
        <v>528315</v>
      </c>
      <c r="C9" s="5">
        <v>423703</v>
      </c>
      <c r="D9" s="5">
        <v>245667</v>
      </c>
      <c r="E9" s="5">
        <v>336953</v>
      </c>
      <c r="F9" s="5">
        <v>371616</v>
      </c>
    </row>
    <row r="10" spans="1:6" x14ac:dyDescent="0.35">
      <c r="A10" s="4" t="s">
        <v>73</v>
      </c>
      <c r="B10" s="5">
        <v>11229</v>
      </c>
      <c r="C10" s="5">
        <v>13872</v>
      </c>
      <c r="D10" s="5">
        <v>14818</v>
      </c>
      <c r="E10" s="5">
        <v>13566</v>
      </c>
      <c r="F10" s="5">
        <v>8822</v>
      </c>
    </row>
    <row r="11" spans="1:6" x14ac:dyDescent="0.35">
      <c r="A11" s="4" t="s">
        <v>74</v>
      </c>
      <c r="B11" s="5">
        <v>539544</v>
      </c>
      <c r="C11" s="5">
        <v>437575</v>
      </c>
      <c r="D11" s="5">
        <v>260485</v>
      </c>
      <c r="E11" s="5">
        <v>350519</v>
      </c>
      <c r="F11" s="5">
        <v>380438</v>
      </c>
    </row>
    <row r="12" spans="1:6" x14ac:dyDescent="0.35">
      <c r="A12" s="4" t="s">
        <v>75</v>
      </c>
      <c r="B12" s="4"/>
      <c r="C12" s="4"/>
      <c r="D12" s="4"/>
      <c r="E12" s="4"/>
      <c r="F12" s="4"/>
    </row>
    <row r="13" spans="1:6" x14ac:dyDescent="0.35">
      <c r="A13" s="4" t="s">
        <v>76</v>
      </c>
      <c r="B13" s="5">
        <v>391508</v>
      </c>
      <c r="C13" s="5">
        <v>320852</v>
      </c>
      <c r="D13" s="5">
        <v>168262</v>
      </c>
      <c r="E13" s="5">
        <v>237342</v>
      </c>
      <c r="F13" s="5">
        <v>265288</v>
      </c>
    </row>
    <row r="14" spans="1:6" x14ac:dyDescent="0.35">
      <c r="A14" s="4" t="s">
        <v>77</v>
      </c>
      <c r="B14" s="5">
        <v>9974</v>
      </c>
      <c r="C14" s="5">
        <v>10691</v>
      </c>
      <c r="D14" s="5">
        <v>7301</v>
      </c>
      <c r="E14" s="5">
        <v>7292</v>
      </c>
      <c r="F14" s="5">
        <v>8289</v>
      </c>
    </row>
    <row r="15" spans="1:6" x14ac:dyDescent="0.35">
      <c r="A15" s="4" t="s">
        <v>78</v>
      </c>
      <c r="B15" s="5">
        <v>44396</v>
      </c>
      <c r="C15" s="5">
        <v>27155</v>
      </c>
      <c r="D15" s="5">
        <v>18375</v>
      </c>
      <c r="E15" s="5">
        <v>21424</v>
      </c>
      <c r="F15" s="5">
        <v>24839</v>
      </c>
    </row>
    <row r="16" spans="1:6" x14ac:dyDescent="0.35">
      <c r="A16" s="4" t="s">
        <v>79</v>
      </c>
      <c r="B16" s="5">
        <v>-6487</v>
      </c>
      <c r="C16" s="5">
        <v>-7962</v>
      </c>
      <c r="D16" s="4">
        <v>610</v>
      </c>
      <c r="E16" s="4">
        <v>77</v>
      </c>
      <c r="F16" s="5">
        <v>-3294</v>
      </c>
    </row>
    <row r="17" spans="1:6" x14ac:dyDescent="0.35">
      <c r="A17" s="4" t="s">
        <v>80</v>
      </c>
      <c r="B17" s="5">
        <v>5691</v>
      </c>
      <c r="C17" s="5">
        <v>5426</v>
      </c>
      <c r="D17" s="5">
        <v>5024</v>
      </c>
      <c r="E17" s="5">
        <v>6067</v>
      </c>
      <c r="F17" s="5">
        <v>5834</v>
      </c>
    </row>
    <row r="18" spans="1:6" x14ac:dyDescent="0.35">
      <c r="A18" s="4" t="s">
        <v>81</v>
      </c>
      <c r="B18" s="5">
        <v>12626</v>
      </c>
      <c r="C18" s="5">
        <v>9123</v>
      </c>
      <c r="D18" s="5">
        <v>16211</v>
      </c>
      <c r="E18" s="5">
        <v>12105</v>
      </c>
      <c r="F18" s="5">
        <v>9751</v>
      </c>
    </row>
    <row r="19" spans="1:6" x14ac:dyDescent="0.35">
      <c r="A19" s="4" t="s">
        <v>82</v>
      </c>
      <c r="B19" s="5">
        <v>10118</v>
      </c>
      <c r="C19" s="5">
        <v>10276</v>
      </c>
      <c r="D19" s="5">
        <v>9199</v>
      </c>
      <c r="E19" s="5">
        <v>9728</v>
      </c>
      <c r="F19" s="5">
        <v>10558</v>
      </c>
    </row>
    <row r="20" spans="1:6" x14ac:dyDescent="0.35">
      <c r="A20" s="4" t="s">
        <v>83</v>
      </c>
      <c r="B20" s="5">
        <v>18665</v>
      </c>
      <c r="C20" s="5">
        <v>15951</v>
      </c>
      <c r="D20" s="5">
        <v>13565</v>
      </c>
      <c r="E20" s="5">
        <v>14306</v>
      </c>
      <c r="F20" s="5">
        <v>14252</v>
      </c>
    </row>
    <row r="21" spans="1:6" x14ac:dyDescent="0.35">
      <c r="A21" s="4" t="s">
        <v>84</v>
      </c>
      <c r="B21" s="5">
        <v>1080</v>
      </c>
      <c r="C21" s="4">
        <v>723</v>
      </c>
      <c r="D21" s="4">
        <v>970</v>
      </c>
      <c r="E21" s="5">
        <v>2383</v>
      </c>
      <c r="F21" s="4">
        <v>0</v>
      </c>
    </row>
    <row r="22" spans="1:6" x14ac:dyDescent="0.35">
      <c r="A22" s="4" t="s">
        <v>85</v>
      </c>
      <c r="B22" s="4">
        <v>0</v>
      </c>
      <c r="C22" s="4">
        <v>0</v>
      </c>
      <c r="D22" s="4">
        <v>0</v>
      </c>
      <c r="E22" s="4">
        <v>0</v>
      </c>
      <c r="F22" s="5">
        <v>2446</v>
      </c>
    </row>
    <row r="23" spans="1:6" x14ac:dyDescent="0.35">
      <c r="A23" s="4" t="s">
        <v>86</v>
      </c>
      <c r="B23" s="5">
        <v>485411</v>
      </c>
      <c r="C23" s="5">
        <v>390789</v>
      </c>
      <c r="D23" s="5">
        <v>237577</v>
      </c>
      <c r="E23" s="5">
        <v>305958</v>
      </c>
      <c r="F23" s="5">
        <v>333071</v>
      </c>
    </row>
    <row r="24" spans="1:6" x14ac:dyDescent="0.35">
      <c r="A24" s="4" t="s">
        <v>1</v>
      </c>
      <c r="B24" s="23">
        <v>44986</v>
      </c>
      <c r="C24" s="23">
        <v>44621</v>
      </c>
      <c r="D24" s="23">
        <v>44256</v>
      </c>
      <c r="E24" s="23">
        <v>43891</v>
      </c>
      <c r="F24" s="23">
        <v>43525</v>
      </c>
    </row>
    <row r="25" spans="1:6" x14ac:dyDescent="0.35">
      <c r="A25" s="4"/>
      <c r="B25" s="4"/>
      <c r="C25" s="4"/>
      <c r="D25" s="4"/>
      <c r="E25" s="4"/>
      <c r="F25" s="4"/>
    </row>
    <row r="26" spans="1:6" x14ac:dyDescent="0.35">
      <c r="A26" s="4" t="s">
        <v>1</v>
      </c>
      <c r="B26" s="4" t="s">
        <v>2</v>
      </c>
      <c r="C26" s="4" t="s">
        <v>2</v>
      </c>
      <c r="D26" s="4" t="s">
        <v>2</v>
      </c>
      <c r="E26" s="4" t="s">
        <v>2</v>
      </c>
      <c r="F26" s="4" t="s">
        <v>2</v>
      </c>
    </row>
    <row r="27" spans="1:6" x14ac:dyDescent="0.35">
      <c r="A27" s="4"/>
      <c r="B27" s="4"/>
      <c r="C27" s="4"/>
      <c r="D27" s="4"/>
      <c r="E27" s="4"/>
      <c r="F27" s="4"/>
    </row>
    <row r="28" spans="1:6" x14ac:dyDescent="0.35">
      <c r="A28" s="4" t="s">
        <v>87</v>
      </c>
      <c r="B28" s="5">
        <v>54133</v>
      </c>
      <c r="C28" s="5">
        <v>46786</v>
      </c>
      <c r="D28" s="5">
        <v>22908</v>
      </c>
      <c r="E28" s="5">
        <v>44561</v>
      </c>
      <c r="F28" s="5">
        <v>47367</v>
      </c>
    </row>
    <row r="29" spans="1:6" x14ac:dyDescent="0.35">
      <c r="A29" s="4" t="s">
        <v>88</v>
      </c>
      <c r="B29" s="4">
        <v>0</v>
      </c>
      <c r="C29" s="4">
        <v>0</v>
      </c>
      <c r="D29" s="5">
        <v>4304</v>
      </c>
      <c r="E29" s="5">
        <v>-4245</v>
      </c>
      <c r="F29" s="4">
        <v>0</v>
      </c>
    </row>
    <row r="30" spans="1:6" x14ac:dyDescent="0.35">
      <c r="A30" s="4" t="s">
        <v>89</v>
      </c>
      <c r="B30" s="5">
        <v>54133</v>
      </c>
      <c r="C30" s="5">
        <v>46786</v>
      </c>
      <c r="D30" s="5">
        <v>27212</v>
      </c>
      <c r="E30" s="5">
        <v>40316</v>
      </c>
      <c r="F30" s="5">
        <v>47367</v>
      </c>
    </row>
    <row r="31" spans="1:6" x14ac:dyDescent="0.35">
      <c r="A31" s="4" t="s">
        <v>90</v>
      </c>
      <c r="B31" s="4"/>
      <c r="C31" s="4"/>
      <c r="D31" s="4"/>
      <c r="E31" s="4"/>
      <c r="F31" s="4"/>
    </row>
    <row r="32" spans="1:6" x14ac:dyDescent="0.35">
      <c r="A32" s="4" t="s">
        <v>91</v>
      </c>
      <c r="B32" s="5">
        <v>6186</v>
      </c>
      <c r="C32" s="4">
        <v>787</v>
      </c>
      <c r="D32" s="4">
        <v>0</v>
      </c>
      <c r="E32" s="5">
        <v>7200</v>
      </c>
      <c r="F32" s="5">
        <v>9440</v>
      </c>
    </row>
    <row r="33" spans="1:6" x14ac:dyDescent="0.35">
      <c r="A33" s="4" t="s">
        <v>92</v>
      </c>
      <c r="B33" s="5">
        <v>4930</v>
      </c>
      <c r="C33" s="5">
        <v>6915</v>
      </c>
      <c r="D33" s="5">
        <v>-4732</v>
      </c>
      <c r="E33" s="5">
        <v>2213</v>
      </c>
      <c r="F33" s="5">
        <v>2764</v>
      </c>
    </row>
    <row r="34" spans="1:6" x14ac:dyDescent="0.35">
      <c r="A34" s="4" t="s">
        <v>93</v>
      </c>
      <c r="B34" s="5">
        <v>11116</v>
      </c>
      <c r="C34" s="5">
        <v>7702</v>
      </c>
      <c r="D34" s="5">
        <v>-4732</v>
      </c>
      <c r="E34" s="5">
        <v>9413</v>
      </c>
      <c r="F34" s="5">
        <v>12204</v>
      </c>
    </row>
    <row r="35" spans="1:6" x14ac:dyDescent="0.35">
      <c r="A35" s="4" t="s">
        <v>94</v>
      </c>
      <c r="B35" s="5">
        <v>43017</v>
      </c>
      <c r="C35" s="5">
        <v>39084</v>
      </c>
      <c r="D35" s="5">
        <v>31944</v>
      </c>
      <c r="E35" s="5">
        <v>30903</v>
      </c>
      <c r="F35" s="5">
        <v>35163</v>
      </c>
    </row>
    <row r="36" spans="1:6" x14ac:dyDescent="0.35">
      <c r="A36" s="4" t="s">
        <v>95</v>
      </c>
      <c r="B36" s="5">
        <v>43017</v>
      </c>
      <c r="C36" s="5">
        <v>39084</v>
      </c>
      <c r="D36" s="5">
        <v>31944</v>
      </c>
      <c r="E36" s="5">
        <v>30903</v>
      </c>
      <c r="F36" s="5">
        <v>35163</v>
      </c>
    </row>
    <row r="37" spans="1:6" x14ac:dyDescent="0.35">
      <c r="A37" s="4" t="s">
        <v>96</v>
      </c>
      <c r="B37" s="5">
        <v>1188</v>
      </c>
      <c r="C37" s="4">
        <v>0</v>
      </c>
      <c r="D37" s="4">
        <v>0</v>
      </c>
      <c r="E37" s="4">
        <v>0</v>
      </c>
      <c r="F37" s="4">
        <v>0</v>
      </c>
    </row>
    <row r="38" spans="1:6" x14ac:dyDescent="0.35">
      <c r="A38" s="4" t="s">
        <v>97</v>
      </c>
      <c r="B38" s="5">
        <v>1188</v>
      </c>
      <c r="C38" s="4">
        <v>0</v>
      </c>
      <c r="D38" s="4">
        <v>0</v>
      </c>
      <c r="E38" s="4">
        <v>0</v>
      </c>
      <c r="F38" s="4">
        <v>0</v>
      </c>
    </row>
    <row r="39" spans="1:6" x14ac:dyDescent="0.35">
      <c r="A39" s="4" t="s">
        <v>98</v>
      </c>
      <c r="B39" s="5">
        <v>44205</v>
      </c>
      <c r="C39" s="5">
        <v>39084</v>
      </c>
      <c r="D39" s="5">
        <v>31944</v>
      </c>
      <c r="E39" s="5">
        <v>30903</v>
      </c>
      <c r="F39" s="5">
        <v>35163</v>
      </c>
    </row>
    <row r="40" spans="1:6" x14ac:dyDescent="0.35">
      <c r="A40" s="4" t="s">
        <v>1</v>
      </c>
      <c r="B40" s="23">
        <v>44986</v>
      </c>
      <c r="C40" s="23">
        <v>44621</v>
      </c>
      <c r="D40" s="23">
        <v>44256</v>
      </c>
      <c r="E40" s="23">
        <v>43891</v>
      </c>
      <c r="F40" s="23">
        <v>43525</v>
      </c>
    </row>
    <row r="41" spans="1:6" x14ac:dyDescent="0.35">
      <c r="A41" s="4"/>
      <c r="B41" s="4"/>
      <c r="C41" s="4"/>
      <c r="D41" s="4"/>
      <c r="E41" s="4"/>
      <c r="F41" s="4"/>
    </row>
    <row r="42" spans="1:6" x14ac:dyDescent="0.35">
      <c r="A42" s="4" t="s">
        <v>1</v>
      </c>
      <c r="B42" s="4" t="s">
        <v>2</v>
      </c>
      <c r="C42" s="4" t="s">
        <v>2</v>
      </c>
      <c r="D42" s="4" t="s">
        <v>2</v>
      </c>
      <c r="E42" s="4" t="s">
        <v>2</v>
      </c>
      <c r="F42" s="4" t="s">
        <v>2</v>
      </c>
    </row>
    <row r="43" spans="1:6" x14ac:dyDescent="0.35">
      <c r="A43" s="4"/>
      <c r="B43" s="4"/>
      <c r="C43" s="4"/>
      <c r="D43" s="4"/>
      <c r="E43" s="4"/>
      <c r="F43" s="4"/>
    </row>
    <row r="44" spans="1:6" x14ac:dyDescent="0.35">
      <c r="A44" s="4" t="s">
        <v>44</v>
      </c>
      <c r="B44" s="4"/>
      <c r="C44" s="4"/>
      <c r="D44" s="4"/>
      <c r="E44" s="4"/>
      <c r="F44" s="4"/>
    </row>
    <row r="45" spans="1:6" x14ac:dyDescent="0.35">
      <c r="A45" s="4" t="s">
        <v>99</v>
      </c>
      <c r="B45" s="4"/>
      <c r="C45" s="4"/>
      <c r="D45" s="4"/>
      <c r="E45" s="4"/>
      <c r="F45" s="4"/>
    </row>
    <row r="46" spans="1:6" x14ac:dyDescent="0.35">
      <c r="A46" s="4" t="s">
        <v>100</v>
      </c>
      <c r="B46" s="4">
        <v>65.34</v>
      </c>
      <c r="C46" s="4">
        <v>59.24</v>
      </c>
      <c r="D46" s="4">
        <v>49.66</v>
      </c>
      <c r="E46" s="4">
        <v>48.42</v>
      </c>
      <c r="F46" s="4">
        <v>55.48</v>
      </c>
    </row>
    <row r="47" spans="1:6" x14ac:dyDescent="0.35">
      <c r="A47" s="4" t="s">
        <v>101</v>
      </c>
      <c r="B47" s="4">
        <v>65.34</v>
      </c>
      <c r="C47" s="4">
        <v>58.49</v>
      </c>
      <c r="D47" s="4">
        <v>48.9</v>
      </c>
      <c r="E47" s="4">
        <v>48.72</v>
      </c>
      <c r="F47" s="4">
        <v>55.47</v>
      </c>
    </row>
    <row r="48" spans="1:6" x14ac:dyDescent="0.35">
      <c r="A48" s="4" t="s">
        <v>102</v>
      </c>
      <c r="B48" s="4"/>
      <c r="C48" s="4"/>
      <c r="D48" s="4"/>
      <c r="E48" s="4"/>
      <c r="F48" s="4"/>
    </row>
    <row r="49" spans="1:6" x14ac:dyDescent="0.35">
      <c r="A49" s="4" t="s">
        <v>103</v>
      </c>
      <c r="B49" s="4"/>
      <c r="C49" s="4"/>
      <c r="D49" s="4"/>
      <c r="E49" s="4"/>
      <c r="F49" s="4"/>
    </row>
    <row r="50" spans="1:6" x14ac:dyDescent="0.35">
      <c r="A50" s="4" t="s">
        <v>104</v>
      </c>
      <c r="B50" s="4"/>
      <c r="C50" s="4"/>
      <c r="D50" s="4"/>
      <c r="E50" s="4"/>
      <c r="F50" s="4"/>
    </row>
    <row r="51" spans="1:6" x14ac:dyDescent="0.35">
      <c r="A51" s="4" t="s">
        <v>105</v>
      </c>
      <c r="B51" s="5">
        <v>5083</v>
      </c>
      <c r="C51" s="5">
        <v>4297</v>
      </c>
      <c r="D51" s="5">
        <v>3921</v>
      </c>
      <c r="E51" s="5">
        <v>3852</v>
      </c>
      <c r="F51" s="5">
        <v>3554</v>
      </c>
    </row>
    <row r="52" spans="1:6" x14ac:dyDescent="0.35">
      <c r="A52" s="4" t="s">
        <v>106</v>
      </c>
      <c r="B52" s="4">
        <v>0</v>
      </c>
      <c r="C52" s="4">
        <v>0</v>
      </c>
      <c r="D52" s="4">
        <v>0</v>
      </c>
      <c r="E52" s="4">
        <v>732</v>
      </c>
      <c r="F52" s="4">
        <v>728</v>
      </c>
    </row>
    <row r="53" spans="1:6" x14ac:dyDescent="0.35">
      <c r="A53" s="4" t="s">
        <v>107</v>
      </c>
      <c r="B53" s="4">
        <v>90</v>
      </c>
      <c r="C53" s="4">
        <v>80</v>
      </c>
      <c r="D53" s="4">
        <v>70</v>
      </c>
      <c r="E53" s="4">
        <v>65</v>
      </c>
      <c r="F53" s="4">
        <v>65</v>
      </c>
    </row>
  </sheetData>
  <mergeCells count="1">
    <mergeCell ref="A2:F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5FB62-CB3B-4626-AC35-5275C62205C6}">
  <sheetPr codeName="Sheet4"/>
  <dimension ref="B2:F8"/>
  <sheetViews>
    <sheetView workbookViewId="0">
      <selection activeCell="K16" sqref="K16"/>
    </sheetView>
  </sheetViews>
  <sheetFormatPr defaultRowHeight="14.5" x14ac:dyDescent="0.35"/>
  <cols>
    <col min="2" max="2" width="12.81640625" bestFit="1" customWidth="1"/>
    <col min="3" max="3" width="10.81640625" bestFit="1" customWidth="1"/>
    <col min="5" max="5" width="12.08984375" bestFit="1" customWidth="1"/>
    <col min="6" max="6" width="10.81640625" bestFit="1" customWidth="1"/>
  </cols>
  <sheetData>
    <row r="2" spans="2:6" x14ac:dyDescent="0.35">
      <c r="B2" t="s">
        <v>168</v>
      </c>
      <c r="C2" t="s">
        <v>169</v>
      </c>
      <c r="E2" t="s">
        <v>168</v>
      </c>
      <c r="F2" t="s">
        <v>169</v>
      </c>
    </row>
    <row r="3" spans="2:6" x14ac:dyDescent="0.35">
      <c r="B3" t="s">
        <v>170</v>
      </c>
      <c r="C3">
        <v>2240</v>
      </c>
      <c r="E3" t="s">
        <v>176</v>
      </c>
      <c r="F3">
        <v>2272.5</v>
      </c>
    </row>
    <row r="4" spans="2:6" x14ac:dyDescent="0.35">
      <c r="B4" t="s">
        <v>171</v>
      </c>
      <c r="C4">
        <v>2226.5</v>
      </c>
      <c r="E4" t="s">
        <v>177</v>
      </c>
      <c r="F4">
        <v>2235.9499999999998</v>
      </c>
    </row>
    <row r="5" spans="2:6" x14ac:dyDescent="0.35">
      <c r="B5" t="s">
        <v>172</v>
      </c>
      <c r="C5">
        <v>4156644</v>
      </c>
      <c r="E5" t="s">
        <v>178</v>
      </c>
      <c r="F5">
        <v>2449.15</v>
      </c>
    </row>
    <row r="6" spans="2:6" x14ac:dyDescent="0.35">
      <c r="B6" t="s">
        <v>173</v>
      </c>
      <c r="C6">
        <v>94318.41</v>
      </c>
      <c r="E6" t="s">
        <v>179</v>
      </c>
      <c r="F6">
        <v>2003.85</v>
      </c>
    </row>
    <row r="7" spans="2:6" x14ac:dyDescent="0.35">
      <c r="B7" t="s">
        <v>174</v>
      </c>
      <c r="C7">
        <v>2260.16</v>
      </c>
      <c r="E7" t="s">
        <v>180</v>
      </c>
      <c r="F7">
        <v>2856</v>
      </c>
    </row>
    <row r="8" spans="2:6" x14ac:dyDescent="0.35">
      <c r="B8" t="s">
        <v>175</v>
      </c>
      <c r="E8" t="s">
        <v>181</v>
      </c>
      <c r="F8">
        <v>2180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A5A9C-6C7A-4DCE-A36F-E834F72E7422}">
  <sheetPr codeName="Sheet3"/>
  <dimension ref="A1:J25"/>
  <sheetViews>
    <sheetView workbookViewId="0"/>
  </sheetViews>
  <sheetFormatPr defaultRowHeight="14.5" x14ac:dyDescent="0.35"/>
  <cols>
    <col min="1" max="1" width="27.36328125" bestFit="1" customWidth="1"/>
    <col min="3" max="3" width="16.54296875" bestFit="1" customWidth="1"/>
    <col min="4" max="4" width="12" bestFit="1" customWidth="1"/>
    <col min="6" max="6" width="16.54296875" bestFit="1" customWidth="1"/>
    <col min="7" max="7" width="12" bestFit="1" customWidth="1"/>
    <col min="9" max="9" width="16.54296875" bestFit="1" customWidth="1"/>
    <col min="10" max="10" width="12" bestFit="1" customWidth="1"/>
  </cols>
  <sheetData>
    <row r="1" spans="1:10" x14ac:dyDescent="0.35">
      <c r="A1" s="4" t="s">
        <v>71</v>
      </c>
      <c r="C1" s="3" t="s">
        <v>71</v>
      </c>
      <c r="D1" s="3"/>
      <c r="F1" s="3" t="s">
        <v>86</v>
      </c>
      <c r="G1" s="3"/>
      <c r="I1" s="3" t="s">
        <v>74</v>
      </c>
      <c r="J1" s="3"/>
    </row>
    <row r="2" spans="1:10" x14ac:dyDescent="0.35">
      <c r="A2" s="5">
        <v>528315</v>
      </c>
    </row>
    <row r="3" spans="1:10" x14ac:dyDescent="0.35">
      <c r="A3" s="5">
        <v>423703</v>
      </c>
      <c r="C3" t="s">
        <v>108</v>
      </c>
      <c r="D3">
        <v>381250.8</v>
      </c>
      <c r="F3" t="s">
        <v>108</v>
      </c>
      <c r="G3">
        <v>350561.2</v>
      </c>
      <c r="I3" t="s">
        <v>108</v>
      </c>
      <c r="J3">
        <v>393712.2</v>
      </c>
    </row>
    <row r="4" spans="1:10" x14ac:dyDescent="0.35">
      <c r="A4" s="5">
        <v>245667</v>
      </c>
      <c r="C4" t="s">
        <v>109</v>
      </c>
      <c r="D4">
        <v>46833.833648762964</v>
      </c>
      <c r="F4" t="s">
        <v>109</v>
      </c>
      <c r="G4">
        <v>41751.363120741371</v>
      </c>
      <c r="I4" t="s">
        <v>109</v>
      </c>
      <c r="J4">
        <v>46358.495902477269</v>
      </c>
    </row>
    <row r="5" spans="1:10" x14ac:dyDescent="0.35">
      <c r="A5" s="5">
        <v>336953</v>
      </c>
      <c r="C5" t="s">
        <v>110</v>
      </c>
      <c r="D5">
        <v>371616</v>
      </c>
      <c r="F5" t="s">
        <v>110</v>
      </c>
      <c r="G5">
        <v>333071</v>
      </c>
      <c r="I5" t="s">
        <v>110</v>
      </c>
      <c r="J5">
        <v>380438</v>
      </c>
    </row>
    <row r="6" spans="1:10" x14ac:dyDescent="0.35">
      <c r="A6" s="5">
        <v>371616</v>
      </c>
      <c r="C6" t="s">
        <v>111</v>
      </c>
      <c r="D6" t="e">
        <v>#N/A</v>
      </c>
      <c r="F6" t="s">
        <v>111</v>
      </c>
      <c r="G6" t="e">
        <v>#N/A</v>
      </c>
      <c r="I6" t="s">
        <v>111</v>
      </c>
      <c r="J6" t="e">
        <v>#N/A</v>
      </c>
    </row>
    <row r="7" spans="1:10" x14ac:dyDescent="0.35">
      <c r="C7" t="s">
        <v>112</v>
      </c>
      <c r="D7">
        <v>104723.63568555101</v>
      </c>
      <c r="F7" t="s">
        <v>112</v>
      </c>
      <c r="G7">
        <v>93358.886091255466</v>
      </c>
      <c r="I7" t="s">
        <v>112</v>
      </c>
      <c r="J7">
        <v>103660.74817258464</v>
      </c>
    </row>
    <row r="8" spans="1:10" x14ac:dyDescent="0.35">
      <c r="C8" t="s">
        <v>113</v>
      </c>
      <c r="D8">
        <v>10967039871.200012</v>
      </c>
      <c r="F8" t="s">
        <v>113</v>
      </c>
      <c r="G8">
        <v>8715881612.2000122</v>
      </c>
      <c r="I8" t="s">
        <v>113</v>
      </c>
      <c r="J8">
        <v>10745550711.700012</v>
      </c>
    </row>
    <row r="9" spans="1:10" x14ac:dyDescent="0.35">
      <c r="C9" t="s">
        <v>114</v>
      </c>
      <c r="D9">
        <v>0.44730004083442765</v>
      </c>
      <c r="F9" t="s">
        <v>114</v>
      </c>
      <c r="G9">
        <v>0.23225973515684473</v>
      </c>
      <c r="I9" t="s">
        <v>114</v>
      </c>
      <c r="J9">
        <v>0.38486450493393853</v>
      </c>
    </row>
    <row r="10" spans="1:10" x14ac:dyDescent="0.35">
      <c r="C10" t="s">
        <v>115</v>
      </c>
      <c r="D10">
        <v>0.24558717223061036</v>
      </c>
      <c r="F10" t="s">
        <v>115</v>
      </c>
      <c r="G10">
        <v>0.50227753784336637</v>
      </c>
      <c r="I10" t="s">
        <v>115</v>
      </c>
      <c r="J10">
        <v>0.27611338123356555</v>
      </c>
    </row>
    <row r="11" spans="1:10" x14ac:dyDescent="0.35">
      <c r="A11" s="4" t="s">
        <v>86</v>
      </c>
      <c r="C11" t="s">
        <v>116</v>
      </c>
      <c r="D11">
        <v>282648</v>
      </c>
      <c r="F11" t="s">
        <v>116</v>
      </c>
      <c r="G11">
        <v>247834</v>
      </c>
      <c r="I11" t="s">
        <v>116</v>
      </c>
      <c r="J11">
        <v>279059</v>
      </c>
    </row>
    <row r="12" spans="1:10" x14ac:dyDescent="0.35">
      <c r="A12" s="5">
        <v>485411</v>
      </c>
      <c r="C12" t="s">
        <v>117</v>
      </c>
      <c r="D12">
        <v>245667</v>
      </c>
      <c r="F12" t="s">
        <v>117</v>
      </c>
      <c r="G12">
        <v>237577</v>
      </c>
      <c r="I12" t="s">
        <v>117</v>
      </c>
      <c r="J12">
        <v>260485</v>
      </c>
    </row>
    <row r="13" spans="1:10" x14ac:dyDescent="0.35">
      <c r="A13" s="5">
        <v>390789</v>
      </c>
      <c r="C13" t="s">
        <v>118</v>
      </c>
      <c r="D13">
        <v>528315</v>
      </c>
      <c r="F13" t="s">
        <v>118</v>
      </c>
      <c r="G13">
        <v>485411</v>
      </c>
      <c r="I13" t="s">
        <v>118</v>
      </c>
      <c r="J13">
        <v>539544</v>
      </c>
    </row>
    <row r="14" spans="1:10" x14ac:dyDescent="0.35">
      <c r="A14" s="5">
        <v>237577</v>
      </c>
      <c r="C14" t="s">
        <v>119</v>
      </c>
      <c r="D14">
        <v>1906254</v>
      </c>
      <c r="F14" t="s">
        <v>119</v>
      </c>
      <c r="G14">
        <v>1752806</v>
      </c>
      <c r="I14" t="s">
        <v>119</v>
      </c>
      <c r="J14">
        <v>1968561</v>
      </c>
    </row>
    <row r="15" spans="1:10" ht="15" thickBot="1" x14ac:dyDescent="0.4">
      <c r="A15" s="5">
        <v>305958</v>
      </c>
      <c r="C15" s="2" t="s">
        <v>120</v>
      </c>
      <c r="D15" s="2">
        <v>5</v>
      </c>
      <c r="F15" s="2" t="s">
        <v>120</v>
      </c>
      <c r="G15" s="2">
        <v>5</v>
      </c>
      <c r="I15" s="2" t="s">
        <v>120</v>
      </c>
      <c r="J15" s="2">
        <v>5</v>
      </c>
    </row>
    <row r="16" spans="1:10" x14ac:dyDescent="0.35">
      <c r="A16" s="5">
        <v>333071</v>
      </c>
    </row>
    <row r="20" spans="1:1" x14ac:dyDescent="0.35">
      <c r="A20" s="4" t="s">
        <v>74</v>
      </c>
    </row>
    <row r="21" spans="1:1" x14ac:dyDescent="0.35">
      <c r="A21" s="5">
        <v>539544</v>
      </c>
    </row>
    <row r="22" spans="1:1" x14ac:dyDescent="0.35">
      <c r="A22" s="5">
        <v>437575</v>
      </c>
    </row>
    <row r="23" spans="1:1" x14ac:dyDescent="0.35">
      <c r="A23" s="5">
        <v>260485</v>
      </c>
    </row>
    <row r="24" spans="1:1" x14ac:dyDescent="0.35">
      <c r="A24" s="5">
        <v>350519</v>
      </c>
    </row>
    <row r="25" spans="1:1" x14ac:dyDescent="0.35">
      <c r="A25" s="5">
        <v>380438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69D79-5677-44B0-A863-84555F3A2436}">
  <dimension ref="A1:AC34"/>
  <sheetViews>
    <sheetView topLeftCell="D1" workbookViewId="0">
      <selection activeCell="L7" sqref="L7"/>
    </sheetView>
  </sheetViews>
  <sheetFormatPr defaultRowHeight="14.5" x14ac:dyDescent="0.35"/>
  <cols>
    <col min="1" max="1" width="17.453125" bestFit="1" customWidth="1"/>
    <col min="2" max="2" width="12" bestFit="1" customWidth="1"/>
    <col min="4" max="5" width="10.453125" bestFit="1" customWidth="1"/>
    <col min="8" max="8" width="17.453125" bestFit="1" customWidth="1"/>
    <col min="9" max="10" width="12" bestFit="1" customWidth="1"/>
    <col min="15" max="16" width="12" bestFit="1" customWidth="1"/>
  </cols>
  <sheetData>
    <row r="1" spans="1:29" x14ac:dyDescent="0.35">
      <c r="C1" s="44" t="s">
        <v>149</v>
      </c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</row>
    <row r="2" spans="1:29" x14ac:dyDescent="0.35"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4" spans="1:29" x14ac:dyDescent="0.3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</row>
    <row r="5" spans="1:29" x14ac:dyDescent="0.35">
      <c r="A5" s="9"/>
      <c r="B5" s="10"/>
      <c r="C5" s="10"/>
      <c r="D5" s="10"/>
      <c r="E5" s="10"/>
      <c r="F5" s="10"/>
      <c r="G5" s="10"/>
      <c r="H5" s="10"/>
      <c r="I5" s="10"/>
      <c r="J5" s="10"/>
      <c r="K5" s="11"/>
      <c r="N5" s="9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35">
      <c r="A6" s="6" t="s">
        <v>121</v>
      </c>
      <c r="B6" s="6" t="s">
        <v>122</v>
      </c>
      <c r="C6" s="6" t="s">
        <v>123</v>
      </c>
      <c r="K6" s="12"/>
      <c r="N6" s="6" t="s">
        <v>121</v>
      </c>
      <c r="O6" s="6" t="s">
        <v>122</v>
      </c>
      <c r="P6" s="6" t="s">
        <v>124</v>
      </c>
      <c r="AC6" s="12"/>
    </row>
    <row r="7" spans="1:29" x14ac:dyDescent="0.35">
      <c r="A7" s="4">
        <v>2019</v>
      </c>
      <c r="B7" s="5">
        <v>371616</v>
      </c>
      <c r="C7" s="5">
        <v>35163</v>
      </c>
      <c r="K7" s="12"/>
      <c r="N7" s="4">
        <v>2019</v>
      </c>
      <c r="O7" s="5">
        <v>371616</v>
      </c>
      <c r="P7" s="5">
        <v>333071</v>
      </c>
      <c r="AC7" s="12"/>
    </row>
    <row r="8" spans="1:29" x14ac:dyDescent="0.35">
      <c r="A8" s="4">
        <v>2020</v>
      </c>
      <c r="B8" s="5">
        <v>336953</v>
      </c>
      <c r="C8" s="5">
        <v>30903</v>
      </c>
      <c r="K8" s="12"/>
      <c r="N8" s="4">
        <v>2020</v>
      </c>
      <c r="O8" s="5">
        <v>336953</v>
      </c>
      <c r="P8" s="5">
        <v>305958</v>
      </c>
      <c r="AC8" s="12"/>
    </row>
    <row r="9" spans="1:29" x14ac:dyDescent="0.35">
      <c r="A9" s="4">
        <v>2021</v>
      </c>
      <c r="B9" s="5">
        <v>245667</v>
      </c>
      <c r="C9" s="5">
        <v>31944</v>
      </c>
      <c r="K9" s="12"/>
      <c r="N9" s="4">
        <v>2021</v>
      </c>
      <c r="O9" s="5">
        <v>245667</v>
      </c>
      <c r="P9" s="5">
        <v>237577</v>
      </c>
      <c r="AC9" s="12"/>
    </row>
    <row r="10" spans="1:29" x14ac:dyDescent="0.35">
      <c r="A10" s="4">
        <v>2022</v>
      </c>
      <c r="B10" s="5">
        <v>423703</v>
      </c>
      <c r="C10" s="5">
        <v>39084</v>
      </c>
      <c r="K10" s="12"/>
      <c r="N10" s="4">
        <v>2022</v>
      </c>
      <c r="O10" s="5">
        <v>423703</v>
      </c>
      <c r="P10" s="5">
        <v>390789</v>
      </c>
      <c r="AC10" s="12"/>
    </row>
    <row r="11" spans="1:29" x14ac:dyDescent="0.35">
      <c r="A11" s="4">
        <v>2023</v>
      </c>
      <c r="B11" s="5">
        <v>528315</v>
      </c>
      <c r="C11" s="5">
        <v>44205</v>
      </c>
      <c r="K11" s="12"/>
      <c r="N11" s="4">
        <v>2023</v>
      </c>
      <c r="O11" s="5">
        <v>528315</v>
      </c>
      <c r="P11" s="5">
        <v>485411</v>
      </c>
      <c r="AC11" s="12"/>
    </row>
    <row r="12" spans="1:29" x14ac:dyDescent="0.35">
      <c r="A12" s="13"/>
      <c r="K12" s="12"/>
      <c r="N12" s="13"/>
      <c r="AC12" s="12"/>
    </row>
    <row r="13" spans="1:29" x14ac:dyDescent="0.35">
      <c r="A13" s="14" t="s">
        <v>108</v>
      </c>
      <c r="B13" s="1">
        <f>+AVERAGE(B7:B11)</f>
        <v>381250.8</v>
      </c>
      <c r="C13" s="1">
        <f>+AVERAGE(C7:C11)</f>
        <v>36259.800000000003</v>
      </c>
      <c r="D13" s="1"/>
      <c r="E13" s="1"/>
      <c r="F13" s="1"/>
      <c r="K13" s="12"/>
      <c r="M13" s="1"/>
      <c r="N13" s="20" t="s">
        <v>108</v>
      </c>
      <c r="O13" s="1">
        <f>+AVERAGE(O7:O11)</f>
        <v>381250.8</v>
      </c>
      <c r="P13" s="1">
        <f>+AVERAGE(P7:P11)</f>
        <v>350561.2</v>
      </c>
      <c r="AC13" s="12"/>
    </row>
    <row r="14" spans="1:29" x14ac:dyDescent="0.35">
      <c r="A14" s="14" t="s">
        <v>125</v>
      </c>
      <c r="B14">
        <f>+CORREL(B7:B11,C7:C11)</f>
        <v>0.92603218836093248</v>
      </c>
      <c r="K14" s="12"/>
      <c r="N14" s="14" t="s">
        <v>125</v>
      </c>
      <c r="O14">
        <f>+CORREL(O7:O11,P7:P11)</f>
        <v>0.99731443152872856</v>
      </c>
      <c r="AC14" s="12"/>
    </row>
    <row r="15" spans="1:29" x14ac:dyDescent="0.35">
      <c r="A15" s="13"/>
      <c r="K15" s="12"/>
      <c r="N15" s="13"/>
      <c r="AC15" s="12"/>
    </row>
    <row r="16" spans="1:29" x14ac:dyDescent="0.35">
      <c r="A16" s="43" t="s">
        <v>126</v>
      </c>
      <c r="B16" s="43"/>
      <c r="C16" s="43"/>
      <c r="K16" s="12"/>
      <c r="N16" s="43" t="s">
        <v>126</v>
      </c>
      <c r="O16" s="43"/>
      <c r="P16" s="43"/>
      <c r="AC16" s="12"/>
    </row>
    <row r="17" spans="1:29" x14ac:dyDescent="0.35">
      <c r="A17" s="6" t="s">
        <v>121</v>
      </c>
      <c r="B17" s="6" t="s">
        <v>122</v>
      </c>
      <c r="C17" s="6" t="s">
        <v>123</v>
      </c>
      <c r="K17" s="12"/>
      <c r="N17" s="6" t="s">
        <v>121</v>
      </c>
      <c r="O17" s="6" t="s">
        <v>122</v>
      </c>
      <c r="P17" s="6" t="s">
        <v>124</v>
      </c>
      <c r="AC17" s="12"/>
    </row>
    <row r="18" spans="1:29" x14ac:dyDescent="0.35">
      <c r="A18" s="4">
        <v>2024</v>
      </c>
      <c r="B18" s="4">
        <f>+_xlfn.FORECAST.LINEAR(A18,$B$7:$B$11,$A$7:$A$11)</f>
        <v>501295.19999998808</v>
      </c>
      <c r="C18" s="4">
        <f>+_xlfn.FORECAST.LINEAR(B18,$C$7:$C$11,$B$7:$B$11)</f>
        <v>42064.868774702438</v>
      </c>
      <c r="K18" s="12"/>
      <c r="N18" s="4">
        <v>2024</v>
      </c>
      <c r="O18" s="4">
        <f>+_xlfn.FORECAST.LINEAR(N18,$O$7:$O$11,$N$7:$N$11)</f>
        <v>501295.19999998808</v>
      </c>
      <c r="P18" s="4">
        <f>+_xlfn.FORECAST.LINEAR(O18,$P$7:$P$11,$O$7:$O$11)</f>
        <v>457290.81894954084</v>
      </c>
      <c r="AC18" s="12"/>
    </row>
    <row r="19" spans="1:29" x14ac:dyDescent="0.35">
      <c r="A19" s="13">
        <v>2025</v>
      </c>
      <c r="B19" s="4">
        <f t="shared" ref="B19:B22" si="0">+_xlfn.FORECAST.LINEAR(A19,$B$7:$B$11,$A$7:$A$11)</f>
        <v>541309.9999999851</v>
      </c>
      <c r="C19" s="4">
        <f t="shared" ref="C19:C22" si="1">+_xlfn.FORECAST.LINEAR(B19,$C$7:$C$11,$B$7:$B$11)</f>
        <v>43999.8916996033</v>
      </c>
      <c r="K19" s="12"/>
      <c r="N19" s="4">
        <v>2025</v>
      </c>
      <c r="O19" s="4">
        <f>+_xlfn.FORECAST.LINEAR(N19,$O$7:$O$11,$N$7:$N$11)</f>
        <v>541309.9999999851</v>
      </c>
      <c r="P19" s="4">
        <f>+_xlfn.FORECAST.LINEAR(O19,$P$7:$P$11,$O$7:$O$11)</f>
        <v>492867.35859938868</v>
      </c>
      <c r="AC19" s="12"/>
    </row>
    <row r="20" spans="1:29" x14ac:dyDescent="0.35">
      <c r="A20" s="4">
        <v>2026</v>
      </c>
      <c r="B20" s="4">
        <f t="shared" si="0"/>
        <v>581324.79999999702</v>
      </c>
      <c r="C20" s="4">
        <f t="shared" si="1"/>
        <v>45934.914624504876</v>
      </c>
      <c r="K20" s="12"/>
      <c r="N20" s="4">
        <v>2026</v>
      </c>
      <c r="O20" s="4">
        <f>+_xlfn.FORECAST.LINEAR(N20,$O$7:$O$11,$N$7:$N$11)</f>
        <v>581324.79999999702</v>
      </c>
      <c r="P20" s="4">
        <f>+_xlfn.FORECAST.LINEAR(O20,$P$7:$P$11,$O$7:$O$11)</f>
        <v>528443.89824924979</v>
      </c>
      <c r="AC20" s="12"/>
    </row>
    <row r="21" spans="1:29" x14ac:dyDescent="0.35">
      <c r="A21" s="13">
        <v>2027</v>
      </c>
      <c r="B21" s="4">
        <f t="shared" si="0"/>
        <v>621339.59999999404</v>
      </c>
      <c r="C21" s="4">
        <f t="shared" si="1"/>
        <v>47869.937549405746</v>
      </c>
      <c r="K21" s="12"/>
      <c r="N21" s="4">
        <v>2027</v>
      </c>
      <c r="O21" s="4">
        <f>+_xlfn.FORECAST.LINEAR(N21,$O$7:$O$11,$N$7:$N$11)</f>
        <v>621339.59999999404</v>
      </c>
      <c r="P21" s="4">
        <f>+_xlfn.FORECAST.LINEAR(O21,$P$7:$P$11,$O$7:$O$11)</f>
        <v>564020.43789909757</v>
      </c>
      <c r="AC21" s="12"/>
    </row>
    <row r="22" spans="1:29" x14ac:dyDescent="0.35">
      <c r="A22" s="4">
        <v>2028</v>
      </c>
      <c r="B22" s="4">
        <f t="shared" si="0"/>
        <v>661354.39999999106</v>
      </c>
      <c r="C22" s="4">
        <f t="shared" si="1"/>
        <v>49804.960474306601</v>
      </c>
      <c r="K22" s="12"/>
      <c r="N22" s="4">
        <v>2028</v>
      </c>
      <c r="O22" s="4">
        <f>+_xlfn.FORECAST.LINEAR(N22,$O$7:$O$11,$N$7:$N$11)</f>
        <v>661354.39999999106</v>
      </c>
      <c r="P22" s="4">
        <f>+_xlfn.FORECAST.LINEAR(O22,$P$7:$P$11,$O$7:$O$11)</f>
        <v>599596.97754894546</v>
      </c>
      <c r="AC22" s="12"/>
    </row>
    <row r="23" spans="1:29" x14ac:dyDescent="0.35">
      <c r="A23" s="13"/>
      <c r="K23" s="12"/>
      <c r="N23" s="13"/>
      <c r="AC23" s="12"/>
    </row>
    <row r="24" spans="1:29" x14ac:dyDescent="0.35">
      <c r="A24" s="13"/>
      <c r="K24" s="12"/>
      <c r="N24" s="13"/>
      <c r="AC24" s="12"/>
    </row>
    <row r="25" spans="1:29" x14ac:dyDescent="0.35">
      <c r="A25" s="13"/>
      <c r="K25" s="12"/>
      <c r="N25" s="13"/>
      <c r="AC25" s="12"/>
    </row>
    <row r="26" spans="1:29" x14ac:dyDescent="0.35">
      <c r="A26" s="13" t="s">
        <v>127</v>
      </c>
      <c r="K26" s="12"/>
      <c r="N26" s="13" t="s">
        <v>127</v>
      </c>
      <c r="AC26" s="12"/>
    </row>
    <row r="27" spans="1:29" ht="15" thickBot="1" x14ac:dyDescent="0.4">
      <c r="A27" s="13"/>
      <c r="K27" s="12"/>
      <c r="N27" s="13"/>
      <c r="AC27" s="12"/>
    </row>
    <row r="28" spans="1:29" x14ac:dyDescent="0.35">
      <c r="A28" s="15" t="s">
        <v>128</v>
      </c>
      <c r="B28" s="3"/>
      <c r="K28" s="12"/>
      <c r="N28" s="15" t="s">
        <v>128</v>
      </c>
      <c r="O28" s="3"/>
      <c r="AC28" s="12"/>
    </row>
    <row r="29" spans="1:29" x14ac:dyDescent="0.35">
      <c r="A29" s="13" t="s">
        <v>129</v>
      </c>
      <c r="B29">
        <v>0.92603218836093248</v>
      </c>
      <c r="K29" s="12"/>
      <c r="N29" s="13" t="s">
        <v>129</v>
      </c>
      <c r="O29">
        <v>0.99731443152872878</v>
      </c>
      <c r="AC29" s="12"/>
    </row>
    <row r="30" spans="1:29" x14ac:dyDescent="0.35">
      <c r="A30" s="13" t="s">
        <v>130</v>
      </c>
      <c r="B30">
        <v>0.85753561388053756</v>
      </c>
      <c r="K30" s="12"/>
      <c r="N30" s="13" t="s">
        <v>130</v>
      </c>
      <c r="O30">
        <v>0.99463607533547138</v>
      </c>
      <c r="AC30" s="12"/>
    </row>
    <row r="31" spans="1:29" x14ac:dyDescent="0.35">
      <c r="A31" s="13" t="s">
        <v>131</v>
      </c>
      <c r="B31">
        <v>0.81004748517405012</v>
      </c>
      <c r="K31" s="12"/>
      <c r="N31" s="13" t="s">
        <v>131</v>
      </c>
      <c r="O31">
        <v>0.99284810044729521</v>
      </c>
      <c r="AC31" s="12"/>
    </row>
    <row r="32" spans="1:29" x14ac:dyDescent="0.35">
      <c r="A32" s="13" t="s">
        <v>109</v>
      </c>
      <c r="B32">
        <v>2383.4531313110965</v>
      </c>
      <c r="K32" s="12"/>
      <c r="N32" s="13" t="s">
        <v>109</v>
      </c>
      <c r="O32">
        <v>7895.2586913743189</v>
      </c>
      <c r="AC32" s="12"/>
    </row>
    <row r="33" spans="1:29" ht="15" thickBot="1" x14ac:dyDescent="0.4">
      <c r="A33" s="16" t="s">
        <v>132</v>
      </c>
      <c r="B33" s="2">
        <v>5</v>
      </c>
      <c r="K33" s="12"/>
      <c r="N33" s="16" t="s">
        <v>132</v>
      </c>
      <c r="O33" s="2">
        <v>5</v>
      </c>
      <c r="AC33" s="12"/>
    </row>
    <row r="34" spans="1:29" x14ac:dyDescent="0.35">
      <c r="A34" s="17"/>
      <c r="B34" s="18"/>
      <c r="C34" s="18"/>
      <c r="D34" s="18"/>
      <c r="E34" s="18"/>
      <c r="F34" s="18"/>
      <c r="G34" s="18"/>
      <c r="H34" s="18"/>
      <c r="I34" s="18"/>
      <c r="J34" s="18"/>
      <c r="K34" s="19"/>
      <c r="N34" s="17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9"/>
    </row>
  </sheetData>
  <mergeCells count="3">
    <mergeCell ref="A16:C16"/>
    <mergeCell ref="N16:P16"/>
    <mergeCell ref="C1:V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55EB4-6BA8-452B-9FE5-F68F2F4EA9DE}">
  <dimension ref="A1:E11"/>
  <sheetViews>
    <sheetView tabSelected="1" workbookViewId="0">
      <selection activeCell="E11" sqref="E11"/>
    </sheetView>
  </sheetViews>
  <sheetFormatPr defaultRowHeight="14.5" x14ac:dyDescent="0.35"/>
  <cols>
    <col min="1" max="1" width="9" bestFit="1" customWidth="1"/>
    <col min="2" max="2" width="10.453125" bestFit="1" customWidth="1"/>
    <col min="3" max="3" width="15.453125" customWidth="1"/>
    <col min="4" max="4" width="29.54296875" customWidth="1"/>
    <col min="5" max="5" width="29.6328125" customWidth="1"/>
  </cols>
  <sheetData>
    <row r="1" spans="1:5" x14ac:dyDescent="0.35">
      <c r="A1" t="s">
        <v>121</v>
      </c>
      <c r="B1" t="s">
        <v>122</v>
      </c>
      <c r="C1" t="s">
        <v>133</v>
      </c>
      <c r="D1" t="s">
        <v>134</v>
      </c>
      <c r="E1" t="s">
        <v>135</v>
      </c>
    </row>
    <row r="2" spans="1:5" x14ac:dyDescent="0.35">
      <c r="A2">
        <v>2019</v>
      </c>
      <c r="B2" s="1">
        <v>371616</v>
      </c>
    </row>
    <row r="3" spans="1:5" x14ac:dyDescent="0.35">
      <c r="A3">
        <v>2020</v>
      </c>
      <c r="B3" s="1">
        <v>336953</v>
      </c>
    </row>
    <row r="4" spans="1:5" x14ac:dyDescent="0.35">
      <c r="A4">
        <v>2021</v>
      </c>
      <c r="B4" s="1">
        <v>245667</v>
      </c>
    </row>
    <row r="5" spans="1:5" x14ac:dyDescent="0.35">
      <c r="A5">
        <v>2022</v>
      </c>
      <c r="B5" s="1">
        <v>423703</v>
      </c>
    </row>
    <row r="6" spans="1:5" x14ac:dyDescent="0.35">
      <c r="A6">
        <v>2023</v>
      </c>
      <c r="B6" s="1">
        <v>528315</v>
      </c>
      <c r="C6" s="1">
        <v>528315</v>
      </c>
      <c r="D6" s="1">
        <v>528315</v>
      </c>
      <c r="E6" s="1">
        <v>528315</v>
      </c>
    </row>
    <row r="7" spans="1:5" x14ac:dyDescent="0.35">
      <c r="A7">
        <v>2024</v>
      </c>
      <c r="C7" s="1">
        <f>_xlfn.FORECAST.ETS(A7,$B$2:$B$6,$A$2:$A$6,1,1)</f>
        <v>536299.03225353116</v>
      </c>
      <c r="D7" s="1">
        <f>C7-_xlfn.FORECAST.ETS.CONFINT(A7,$B$2:$B$6,$A$2:$A$6,0.95,1,1)</f>
        <v>346818.2465557789</v>
      </c>
      <c r="E7" s="1">
        <f>C7+_xlfn.FORECAST.ETS.CONFINT(A7,$B$2:$B$6,$A$2:$A$6,0.95,1,1)</f>
        <v>725779.81795128342</v>
      </c>
    </row>
    <row r="8" spans="1:5" x14ac:dyDescent="0.35">
      <c r="A8">
        <v>2025</v>
      </c>
      <c r="C8" s="1">
        <f>_xlfn.FORECAST.ETS(A8,$B$2:$B$6,$A$2:$A$6,1,1)</f>
        <v>583408.46795820503</v>
      </c>
      <c r="D8" s="1">
        <f>C8-_xlfn.FORECAST.ETS.CONFINT(A8,$B$2:$B$6,$A$2:$A$6,0.95,1,1)</f>
        <v>371477.70318604249</v>
      </c>
      <c r="E8" s="1">
        <f>C8+_xlfn.FORECAST.ETS.CONFINT(A8,$B$2:$B$6,$A$2:$A$6,0.95,1,1)</f>
        <v>795339.23273036757</v>
      </c>
    </row>
    <row r="9" spans="1:5" x14ac:dyDescent="0.35">
      <c r="A9">
        <v>2026</v>
      </c>
      <c r="C9" s="1">
        <f>_xlfn.FORECAST.ETS(A9,$B$2:$B$6,$A$2:$A$6,1,1)</f>
        <v>630517.9036628789</v>
      </c>
      <c r="D9" s="1">
        <f>C9-_xlfn.FORECAST.ETS.CONFINT(A9,$B$2:$B$6,$A$2:$A$6,0.95,1,1)</f>
        <v>398219.94705920375</v>
      </c>
      <c r="E9" s="1">
        <f>C9+_xlfn.FORECAST.ETS.CONFINT(A9,$B$2:$B$6,$A$2:$A$6,0.95,1,1)</f>
        <v>862815.86026655405</v>
      </c>
    </row>
    <row r="10" spans="1:5" x14ac:dyDescent="0.35">
      <c r="A10">
        <v>2027</v>
      </c>
      <c r="C10" s="1">
        <f>_xlfn.FORECAST.ETS(A10,$B$2:$B$6,$A$2:$A$6,1,1)</f>
        <v>677627.33936755278</v>
      </c>
      <c r="D10" s="1">
        <f>C10-_xlfn.FORECAST.ETS.CONFINT(A10,$B$2:$B$6,$A$2:$A$6,0.95,1,1)</f>
        <v>426537.48550929432</v>
      </c>
      <c r="E10" s="1">
        <f>C10+_xlfn.FORECAST.ETS.CONFINT(A10,$B$2:$B$6,$A$2:$A$6,0.95,1,1)</f>
        <v>928717.19322581124</v>
      </c>
    </row>
    <row r="11" spans="1:5" x14ac:dyDescent="0.35">
      <c r="A11">
        <v>2028</v>
      </c>
      <c r="C11" s="1">
        <f>_xlfn.FORECAST.ETS(A11,$B$2:$B$6,$A$2:$A$6,1,1)</f>
        <v>724736.77507222665</v>
      </c>
      <c r="D11" s="1">
        <f>C11-_xlfn.FORECAST.ETS.CONFINT(A11,$B$2:$B$6,$A$2:$A$6,0.95,1,1)</f>
        <v>456099.39296056691</v>
      </c>
      <c r="E11" s="1">
        <f>C11+_xlfn.FORECAST.ETS.CONFINT(A11,$B$2:$B$6,$A$2:$A$6,0.95,1,1)</f>
        <v>993374.15718388639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2C8B5-C2ED-4770-AA81-28552305B7FB}">
  <dimension ref="F3:H11"/>
  <sheetViews>
    <sheetView workbookViewId="0">
      <selection activeCell="P9" sqref="P9"/>
    </sheetView>
  </sheetViews>
  <sheetFormatPr defaultRowHeight="14.5" x14ac:dyDescent="0.35"/>
  <cols>
    <col min="1" max="1" width="8.453125" customWidth="1"/>
    <col min="6" max="6" width="27.453125" bestFit="1" customWidth="1"/>
    <col min="7" max="7" width="8" customWidth="1"/>
    <col min="8" max="8" width="8" bestFit="1" customWidth="1"/>
  </cols>
  <sheetData>
    <row r="3" spans="6:8" x14ac:dyDescent="0.35">
      <c r="F3" s="6" t="s">
        <v>148</v>
      </c>
      <c r="G3" s="8" t="s">
        <v>146</v>
      </c>
      <c r="H3" s="6" t="s">
        <v>147</v>
      </c>
    </row>
    <row r="4" spans="6:8" x14ac:dyDescent="0.35">
      <c r="F4" s="4" t="s">
        <v>139</v>
      </c>
      <c r="G4" s="4"/>
      <c r="H4" s="4" t="s">
        <v>1</v>
      </c>
    </row>
    <row r="5" spans="6:8" x14ac:dyDescent="0.35">
      <c r="F5" s="4" t="s">
        <v>100</v>
      </c>
      <c r="G5" s="4">
        <v>9.61</v>
      </c>
      <c r="H5" s="4">
        <v>59.24</v>
      </c>
    </row>
    <row r="6" spans="6:8" x14ac:dyDescent="0.35">
      <c r="F6" s="4" t="s">
        <v>140</v>
      </c>
      <c r="G6" s="4">
        <v>11.16</v>
      </c>
      <c r="H6" s="4">
        <v>9.2200000000000006</v>
      </c>
    </row>
    <row r="7" spans="6:8" x14ac:dyDescent="0.35">
      <c r="F7" s="4" t="s">
        <v>141</v>
      </c>
      <c r="G7" s="4">
        <v>7.54</v>
      </c>
      <c r="H7" s="4">
        <v>8.2799999999999994</v>
      </c>
    </row>
    <row r="8" spans="6:8" x14ac:dyDescent="0.35">
      <c r="F8" s="4" t="s">
        <v>142</v>
      </c>
      <c r="G8" s="4">
        <v>9.51</v>
      </c>
      <c r="H8" s="4">
        <v>8.24</v>
      </c>
    </row>
    <row r="9" spans="6:8" x14ac:dyDescent="0.35">
      <c r="F9" s="4" t="s">
        <v>143</v>
      </c>
      <c r="G9" s="4">
        <v>2.56</v>
      </c>
      <c r="H9" s="4">
        <v>1.1100000000000001</v>
      </c>
    </row>
    <row r="10" spans="6:8" x14ac:dyDescent="0.35">
      <c r="F10" s="4" t="s">
        <v>144</v>
      </c>
      <c r="G10" s="4">
        <v>1.73</v>
      </c>
      <c r="H10" s="4">
        <v>0.88</v>
      </c>
    </row>
    <row r="11" spans="6:8" x14ac:dyDescent="0.35">
      <c r="F11" s="4" t="s">
        <v>145</v>
      </c>
      <c r="G11" s="4">
        <v>2.38</v>
      </c>
      <c r="H11" s="4">
        <v>7.7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9E3AF-26E1-4526-97FB-9DB7E488BB6F}">
  <dimension ref="A1:E11"/>
  <sheetViews>
    <sheetView workbookViewId="0">
      <selection activeCell="L7" sqref="L7"/>
    </sheetView>
  </sheetViews>
  <sheetFormatPr defaultRowHeight="14.5" x14ac:dyDescent="0.35"/>
  <cols>
    <col min="3" max="3" width="16.6328125" customWidth="1"/>
    <col min="4" max="4" width="30.81640625" customWidth="1"/>
    <col min="5" max="5" width="30.90625" customWidth="1"/>
  </cols>
  <sheetData>
    <row r="1" spans="1:5" x14ac:dyDescent="0.35">
      <c r="A1" t="s">
        <v>121</v>
      </c>
      <c r="B1" t="s">
        <v>123</v>
      </c>
      <c r="C1" t="s">
        <v>136</v>
      </c>
      <c r="D1" t="s">
        <v>137</v>
      </c>
      <c r="E1" t="s">
        <v>138</v>
      </c>
    </row>
    <row r="2" spans="1:5" x14ac:dyDescent="0.35">
      <c r="A2">
        <v>2019</v>
      </c>
      <c r="B2" s="1">
        <v>35163</v>
      </c>
    </row>
    <row r="3" spans="1:5" x14ac:dyDescent="0.35">
      <c r="A3">
        <v>2020</v>
      </c>
      <c r="B3" s="1">
        <v>30903</v>
      </c>
    </row>
    <row r="4" spans="1:5" x14ac:dyDescent="0.35">
      <c r="A4">
        <v>2021</v>
      </c>
      <c r="B4" s="1">
        <v>31944</v>
      </c>
    </row>
    <row r="5" spans="1:5" x14ac:dyDescent="0.35">
      <c r="A5">
        <v>2022</v>
      </c>
      <c r="B5" s="1">
        <v>39084</v>
      </c>
    </row>
    <row r="6" spans="1:5" x14ac:dyDescent="0.35">
      <c r="A6">
        <v>2023</v>
      </c>
      <c r="B6" s="1">
        <v>44205</v>
      </c>
      <c r="C6" s="1">
        <v>44205</v>
      </c>
      <c r="D6" s="1">
        <v>44205</v>
      </c>
      <c r="E6" s="1">
        <v>44205</v>
      </c>
    </row>
    <row r="7" spans="1:5" x14ac:dyDescent="0.35">
      <c r="A7">
        <v>2024</v>
      </c>
      <c r="C7" s="1">
        <f>_xlfn.FORECAST.ETS(A7,$B$2:$B$6,$A$2:$A$6,1,1)</f>
        <v>45551.980650415993</v>
      </c>
      <c r="D7" s="1">
        <f>C7-_xlfn.FORECAST.ETS.CONFINT(A7,$B$2:$B$6,$A$2:$A$6,0.95,1,1)</f>
        <v>37153.172945399419</v>
      </c>
      <c r="E7" s="1">
        <f>C7+_xlfn.FORECAST.ETS.CONFINT(A7,$B$2:$B$6,$A$2:$A$6,0.95,1,1)</f>
        <v>53950.788355432567</v>
      </c>
    </row>
    <row r="8" spans="1:5" x14ac:dyDescent="0.35">
      <c r="A8">
        <v>2025</v>
      </c>
      <c r="C8" s="1">
        <f>_xlfn.FORECAST.ETS(A8,$B$2:$B$6,$A$2:$A$6,1,1)</f>
        <v>48420.853548918232</v>
      </c>
      <c r="D8" s="1">
        <f>C8-_xlfn.FORECAST.ETS.CONFINT(A8,$B$2:$B$6,$A$2:$A$6,0.95,1,1)</f>
        <v>39026.94200509668</v>
      </c>
      <c r="E8" s="1">
        <f>C8+_xlfn.FORECAST.ETS.CONFINT(A8,$B$2:$B$6,$A$2:$A$6,0.95,1,1)</f>
        <v>57814.765092739784</v>
      </c>
    </row>
    <row r="9" spans="1:5" x14ac:dyDescent="0.35">
      <c r="A9">
        <v>2026</v>
      </c>
      <c r="C9" s="1">
        <f>_xlfn.FORECAST.ETS(A9,$B$2:$B$6,$A$2:$A$6,1,1)</f>
        <v>51289.726447420479</v>
      </c>
      <c r="D9" s="1">
        <f>C9-_xlfn.FORECAST.ETS.CONFINT(A9,$B$2:$B$6,$A$2:$A$6,0.95,1,1)</f>
        <v>40993.031399434432</v>
      </c>
      <c r="E9" s="1">
        <f>C9+_xlfn.FORECAST.ETS.CONFINT(A9,$B$2:$B$6,$A$2:$A$6,0.95,1,1)</f>
        <v>61586.421495406525</v>
      </c>
    </row>
    <row r="10" spans="1:5" x14ac:dyDescent="0.35">
      <c r="A10">
        <v>2027</v>
      </c>
      <c r="C10" s="1">
        <f>_xlfn.FORECAST.ETS(A10,$B$2:$B$6,$A$2:$A$6,1,1)</f>
        <v>54158.599345922717</v>
      </c>
      <c r="D10" s="1">
        <f>C10-_xlfn.FORECAST.ETS.CONFINT(A10,$B$2:$B$6,$A$2:$A$6,0.95,1,1)</f>
        <v>43028.946323477801</v>
      </c>
      <c r="E10" s="1">
        <f>C10+_xlfn.FORECAST.ETS.CONFINT(A10,$B$2:$B$6,$A$2:$A$6,0.95,1,1)</f>
        <v>65288.252368367634</v>
      </c>
    </row>
    <row r="11" spans="1:5" x14ac:dyDescent="0.35">
      <c r="A11">
        <v>2028</v>
      </c>
      <c r="C11" s="1">
        <f>_xlfn.FORECAST.ETS(A11,$B$2:$B$6,$A$2:$A$6,1,1)</f>
        <v>57027.472244424964</v>
      </c>
      <c r="D11" s="1">
        <f>C11-_xlfn.FORECAST.ETS.CONFINT(A11,$B$2:$B$6,$A$2:$A$6,0.95,1,1)</f>
        <v>45120.018375546199</v>
      </c>
      <c r="E11" s="1">
        <f>C11+_xlfn.FORECAST.ETS.CONFINT(A11,$B$2:$B$6,$A$2:$A$6,0.95,1,1)</f>
        <v>68934.926113303722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34EE6-195E-48E1-B988-D5AA80992C1F}">
  <dimension ref="D15:J28"/>
  <sheetViews>
    <sheetView showGridLines="0" topLeftCell="A2" workbookViewId="0">
      <selection activeCell="B17" sqref="B17"/>
    </sheetView>
  </sheetViews>
  <sheetFormatPr defaultColWidth="8.90625" defaultRowHeight="14.5" x14ac:dyDescent="0.35"/>
  <cols>
    <col min="1" max="8" width="8.90625" style="35"/>
    <col min="9" max="9" width="12.36328125" style="35" bestFit="1" customWidth="1"/>
    <col min="10" max="16384" width="8.90625" style="35"/>
  </cols>
  <sheetData>
    <row r="15" spans="5:10" ht="15.5" x14ac:dyDescent="0.35">
      <c r="E15" s="40" t="s">
        <v>159</v>
      </c>
      <c r="F15" s="41">
        <f>+Workings!D30</f>
        <v>0.09</v>
      </c>
      <c r="I15" s="40" t="s">
        <v>167</v>
      </c>
      <c r="J15" s="41">
        <f>+Workings!D31</f>
        <v>0.13</v>
      </c>
    </row>
    <row r="23" spans="4:10" x14ac:dyDescent="0.35">
      <c r="D23" s="35">
        <v>2</v>
      </c>
    </row>
    <row r="28" spans="4:10" ht="15.5" x14ac:dyDescent="0.35">
      <c r="E28" s="40" t="s">
        <v>161</v>
      </c>
      <c r="F28" s="41">
        <f>+Workings!D32</f>
        <v>3.6499999999999998E-2</v>
      </c>
      <c r="I28" s="40" t="s">
        <v>162</v>
      </c>
      <c r="J28" s="40">
        <f>+Workings!D33</f>
        <v>0.86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0</xdr:col>
                    <xdr:colOff>330200</xdr:colOff>
                    <xdr:row>9</xdr:row>
                    <xdr:rowOff>50800</xdr:rowOff>
                  </from>
                  <to>
                    <xdr:col>2</xdr:col>
                    <xdr:colOff>203200</xdr:colOff>
                    <xdr:row>10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50DE-8B63-4F39-9983-9A957FC1996E}">
  <dimension ref="C3:L37"/>
  <sheetViews>
    <sheetView workbookViewId="0">
      <selection activeCell="M21" sqref="M21"/>
    </sheetView>
  </sheetViews>
  <sheetFormatPr defaultRowHeight="14.5" x14ac:dyDescent="0.35"/>
  <cols>
    <col min="3" max="3" width="30.453125" bestFit="1" customWidth="1"/>
    <col min="7" max="7" width="15.453125" bestFit="1" customWidth="1"/>
    <col min="12" max="12" width="12.54296875" customWidth="1"/>
  </cols>
  <sheetData>
    <row r="3" spans="3:12" x14ac:dyDescent="0.35">
      <c r="C3" s="43" t="s">
        <v>158</v>
      </c>
      <c r="D3" s="43"/>
      <c r="E3" s="43"/>
      <c r="F3" s="43"/>
      <c r="G3" s="43"/>
      <c r="H3" s="43"/>
    </row>
    <row r="4" spans="3:12" ht="15.5" x14ac:dyDescent="0.35">
      <c r="C4" s="24" t="s">
        <v>151</v>
      </c>
      <c r="D4" s="31">
        <v>2023</v>
      </c>
      <c r="E4" s="31">
        <v>2022</v>
      </c>
      <c r="F4" s="31">
        <v>2021</v>
      </c>
      <c r="G4" s="31">
        <v>2020</v>
      </c>
      <c r="H4" s="31">
        <v>2019</v>
      </c>
    </row>
    <row r="5" spans="3:12" ht="15.5" x14ac:dyDescent="0.35">
      <c r="C5" s="25" t="s">
        <v>122</v>
      </c>
      <c r="D5" s="26">
        <v>877835</v>
      </c>
      <c r="E5" s="26">
        <v>699962</v>
      </c>
      <c r="F5" s="26">
        <v>466924</v>
      </c>
      <c r="G5" s="26">
        <v>597535</v>
      </c>
      <c r="H5" s="26">
        <v>569209</v>
      </c>
    </row>
    <row r="6" spans="3:12" ht="15.5" x14ac:dyDescent="0.35">
      <c r="C6" s="25" t="s">
        <v>73</v>
      </c>
      <c r="D6" s="26">
        <v>11734</v>
      </c>
      <c r="E6" s="26">
        <v>14947</v>
      </c>
      <c r="F6" s="26">
        <v>16327</v>
      </c>
      <c r="G6" s="26">
        <v>13164</v>
      </c>
      <c r="H6" s="26">
        <v>8386</v>
      </c>
    </row>
    <row r="7" spans="3:12" ht="15.5" x14ac:dyDescent="0.35">
      <c r="C7" s="25" t="s">
        <v>152</v>
      </c>
      <c r="D7" s="26">
        <v>889569</v>
      </c>
      <c r="E7" s="26">
        <v>714909</v>
      </c>
      <c r="F7" s="26">
        <v>483251</v>
      </c>
      <c r="G7" s="26">
        <v>610699</v>
      </c>
      <c r="H7" s="26">
        <v>577595</v>
      </c>
      <c r="L7" s="32"/>
    </row>
    <row r="8" spans="3:12" ht="15.5" x14ac:dyDescent="0.35">
      <c r="C8" s="25" t="s">
        <v>153</v>
      </c>
      <c r="D8" s="26">
        <v>775976</v>
      </c>
      <c r="E8" s="26">
        <v>616463</v>
      </c>
      <c r="F8" s="26">
        <v>407117</v>
      </c>
      <c r="G8" s="26">
        <v>535173</v>
      </c>
      <c r="H8" s="26">
        <v>505976</v>
      </c>
    </row>
    <row r="9" spans="3:12" ht="15.5" x14ac:dyDescent="0.35">
      <c r="C9" s="25" t="s">
        <v>154</v>
      </c>
      <c r="D9" s="26">
        <v>113593</v>
      </c>
      <c r="E9" s="26">
        <v>98446</v>
      </c>
      <c r="F9" s="26">
        <v>76134</v>
      </c>
      <c r="G9" s="26">
        <v>75526</v>
      </c>
      <c r="H9" s="26">
        <v>71619</v>
      </c>
    </row>
    <row r="10" spans="3:12" ht="15.5" x14ac:dyDescent="0.35">
      <c r="C10" s="25" t="s">
        <v>155</v>
      </c>
      <c r="D10" s="26">
        <v>19571</v>
      </c>
      <c r="E10" s="26">
        <v>14584</v>
      </c>
      <c r="F10" s="26">
        <v>21189</v>
      </c>
      <c r="G10" s="26">
        <v>22027</v>
      </c>
      <c r="H10" s="26">
        <v>16495</v>
      </c>
      <c r="L10" s="32"/>
    </row>
    <row r="11" spans="3:12" ht="15.5" x14ac:dyDescent="0.35">
      <c r="C11" s="25" t="s">
        <v>156</v>
      </c>
      <c r="D11" s="26">
        <v>20376</v>
      </c>
      <c r="E11" s="26">
        <v>16297</v>
      </c>
      <c r="F11" s="26">
        <v>1722</v>
      </c>
      <c r="G11" s="26">
        <v>13726</v>
      </c>
      <c r="H11" s="26">
        <v>15390</v>
      </c>
    </row>
    <row r="12" spans="3:12" ht="15.5" x14ac:dyDescent="0.35">
      <c r="C12" s="42" t="s">
        <v>157</v>
      </c>
      <c r="D12" s="28">
        <v>73646</v>
      </c>
      <c r="E12" s="28">
        <v>67565</v>
      </c>
      <c r="F12" s="28">
        <v>53223</v>
      </c>
      <c r="G12" s="28">
        <v>39773</v>
      </c>
      <c r="H12" s="28">
        <v>39734</v>
      </c>
    </row>
    <row r="13" spans="3:12" ht="15.5" x14ac:dyDescent="0.35">
      <c r="C13" s="29" t="s">
        <v>159</v>
      </c>
      <c r="D13" s="36">
        <v>6.9000000000000006E-2</v>
      </c>
      <c r="E13" s="36">
        <v>7.4999999999999997E-2</v>
      </c>
      <c r="F13" s="37">
        <v>0.09</v>
      </c>
      <c r="G13" s="36">
        <v>0.14560000000000001</v>
      </c>
      <c r="H13" s="36">
        <v>0.43490000000000001</v>
      </c>
    </row>
    <row r="14" spans="3:12" ht="15.5" x14ac:dyDescent="0.35">
      <c r="C14" s="29" t="s">
        <v>160</v>
      </c>
      <c r="D14" s="36">
        <v>8.3599999999999994E-2</v>
      </c>
      <c r="E14" s="36">
        <v>9.2200000000000004E-2</v>
      </c>
      <c r="F14" s="39">
        <v>0.13</v>
      </c>
      <c r="G14" s="36">
        <v>9.1700000000000004E-2</v>
      </c>
      <c r="H14" s="36">
        <v>9.4600000000000004E-2</v>
      </c>
    </row>
    <row r="15" spans="3:12" ht="15.5" x14ac:dyDescent="0.35">
      <c r="C15" s="29" t="s">
        <v>161</v>
      </c>
      <c r="D15" s="36">
        <v>4.9599999999999998E-2</v>
      </c>
      <c r="E15" s="36">
        <v>4.4400000000000002E-2</v>
      </c>
      <c r="F15" s="36">
        <v>3.6499999999999998E-2</v>
      </c>
      <c r="G15" s="36">
        <v>3.1800000000000002E-2</v>
      </c>
      <c r="H15" s="36">
        <v>4.53E-2</v>
      </c>
    </row>
    <row r="16" spans="3:12" ht="15.5" x14ac:dyDescent="0.35">
      <c r="C16" s="29" t="s">
        <v>162</v>
      </c>
      <c r="D16" s="31">
        <v>0.91</v>
      </c>
      <c r="E16" s="31">
        <v>0.88</v>
      </c>
      <c r="F16" s="31">
        <v>0.86</v>
      </c>
      <c r="G16" s="31">
        <v>0.39</v>
      </c>
      <c r="H16" s="31">
        <v>0.54</v>
      </c>
    </row>
    <row r="17" spans="3:8" ht="15.5" x14ac:dyDescent="0.35">
      <c r="C17" s="29" t="s">
        <v>163</v>
      </c>
      <c r="D17" s="31">
        <v>1.1200000000000001</v>
      </c>
      <c r="E17" s="31">
        <v>1.1100000000000001</v>
      </c>
      <c r="F17" s="31">
        <v>1.04</v>
      </c>
      <c r="G17" s="31">
        <v>0.5</v>
      </c>
      <c r="H17" s="31">
        <v>0.76</v>
      </c>
    </row>
    <row r="18" spans="3:8" ht="15.5" x14ac:dyDescent="0.35">
      <c r="C18" s="30" t="s">
        <v>164</v>
      </c>
      <c r="D18" s="31">
        <v>65.34</v>
      </c>
      <c r="E18" s="31">
        <v>59.24</v>
      </c>
      <c r="F18" s="31">
        <v>49.66</v>
      </c>
      <c r="G18" s="31">
        <v>48.42</v>
      </c>
      <c r="H18" s="31">
        <v>55.48</v>
      </c>
    </row>
    <row r="19" spans="3:8" ht="15" x14ac:dyDescent="0.35">
      <c r="C19" s="33"/>
    </row>
    <row r="20" spans="3:8" ht="15" x14ac:dyDescent="0.35">
      <c r="C20" s="33"/>
    </row>
    <row r="21" spans="3:8" ht="15" x14ac:dyDescent="0.35">
      <c r="C21" s="29"/>
      <c r="D21" s="4">
        <v>3</v>
      </c>
      <c r="E21" s="4"/>
    </row>
    <row r="22" spans="3:8" ht="15" x14ac:dyDescent="0.35">
      <c r="C22" s="25" t="s">
        <v>122</v>
      </c>
      <c r="D22" s="4">
        <f>+INDEX($D$5:$H$18,MATCH(C22,$C$5:$C$18,0),$D$21)</f>
        <v>466924</v>
      </c>
      <c r="E22" s="34">
        <f>+MAX(D5:H5)</f>
        <v>877835</v>
      </c>
    </row>
    <row r="23" spans="3:8" ht="15" x14ac:dyDescent="0.35">
      <c r="C23" s="25" t="s">
        <v>73</v>
      </c>
      <c r="D23" s="4">
        <f t="shared" ref="D23:D35" si="0">+INDEX($D$5:$H$18,MATCH(C23,$C$5:$C$18,0),$D$21)</f>
        <v>16327</v>
      </c>
      <c r="E23" s="34">
        <f t="shared" ref="E23:E35" si="1">+MAX(D6:H6)</f>
        <v>16327</v>
      </c>
    </row>
    <row r="24" spans="3:8" ht="15" x14ac:dyDescent="0.35">
      <c r="C24" s="25" t="s">
        <v>152</v>
      </c>
      <c r="D24" s="4">
        <f t="shared" si="0"/>
        <v>483251</v>
      </c>
      <c r="E24" s="34">
        <f t="shared" si="1"/>
        <v>889569</v>
      </c>
      <c r="H24">
        <v>2023</v>
      </c>
    </row>
    <row r="25" spans="3:8" ht="15" x14ac:dyDescent="0.35">
      <c r="C25" s="25" t="s">
        <v>153</v>
      </c>
      <c r="D25" s="4">
        <f t="shared" si="0"/>
        <v>407117</v>
      </c>
      <c r="E25" s="34">
        <f t="shared" si="1"/>
        <v>775976</v>
      </c>
      <c r="H25">
        <v>2022</v>
      </c>
    </row>
    <row r="26" spans="3:8" ht="15" x14ac:dyDescent="0.35">
      <c r="C26" s="25" t="s">
        <v>154</v>
      </c>
      <c r="D26" s="4">
        <f t="shared" si="0"/>
        <v>76134</v>
      </c>
      <c r="E26" s="34">
        <f t="shared" si="1"/>
        <v>113593</v>
      </c>
      <c r="H26">
        <v>2021</v>
      </c>
    </row>
    <row r="27" spans="3:8" ht="15" x14ac:dyDescent="0.35">
      <c r="C27" s="25" t="s">
        <v>155</v>
      </c>
      <c r="D27" s="4">
        <f t="shared" si="0"/>
        <v>21189</v>
      </c>
      <c r="E27" s="34">
        <f t="shared" si="1"/>
        <v>22027</v>
      </c>
      <c r="H27">
        <v>2020</v>
      </c>
    </row>
    <row r="28" spans="3:8" ht="15" x14ac:dyDescent="0.35">
      <c r="C28" s="25" t="s">
        <v>156</v>
      </c>
      <c r="D28" s="4">
        <f t="shared" si="0"/>
        <v>1722</v>
      </c>
      <c r="E28" s="34">
        <f t="shared" si="1"/>
        <v>20376</v>
      </c>
      <c r="H28">
        <v>2019</v>
      </c>
    </row>
    <row r="29" spans="3:8" ht="15" x14ac:dyDescent="0.35">
      <c r="C29" s="27" t="s">
        <v>157</v>
      </c>
      <c r="D29" s="4">
        <f t="shared" si="0"/>
        <v>53223</v>
      </c>
      <c r="E29" s="34">
        <f t="shared" si="1"/>
        <v>73646</v>
      </c>
    </row>
    <row r="30" spans="3:8" ht="15" x14ac:dyDescent="0.35">
      <c r="C30" s="29" t="s">
        <v>159</v>
      </c>
      <c r="D30" s="38">
        <f t="shared" si="0"/>
        <v>0.09</v>
      </c>
      <c r="E30" s="38">
        <f t="shared" si="1"/>
        <v>0.43490000000000001</v>
      </c>
      <c r="G30" s="4" t="s">
        <v>165</v>
      </c>
      <c r="H30" s="4" t="s">
        <v>124</v>
      </c>
    </row>
    <row r="31" spans="3:8" ht="15" x14ac:dyDescent="0.35">
      <c r="C31" s="29" t="s">
        <v>160</v>
      </c>
      <c r="D31" s="38">
        <f t="shared" si="0"/>
        <v>0.13</v>
      </c>
      <c r="E31" s="38">
        <f t="shared" si="1"/>
        <v>0.13</v>
      </c>
      <c r="G31" s="4">
        <f>+D24</f>
        <v>483251</v>
      </c>
      <c r="H31" s="4">
        <f>+D25</f>
        <v>407117</v>
      </c>
    </row>
    <row r="32" spans="3:8" ht="15" x14ac:dyDescent="0.35">
      <c r="C32" s="29" t="s">
        <v>161</v>
      </c>
      <c r="D32" s="38">
        <f t="shared" si="0"/>
        <v>3.6499999999999998E-2</v>
      </c>
      <c r="E32" s="38">
        <f t="shared" si="1"/>
        <v>4.9599999999999998E-2</v>
      </c>
    </row>
    <row r="33" spans="3:8" ht="15" x14ac:dyDescent="0.35">
      <c r="C33" s="29" t="s">
        <v>162</v>
      </c>
      <c r="D33" s="4">
        <f t="shared" si="0"/>
        <v>0.86</v>
      </c>
      <c r="E33" s="34">
        <f t="shared" si="1"/>
        <v>0.91</v>
      </c>
      <c r="G33" s="4" t="str">
        <f>+C24</f>
        <v>Total Income</v>
      </c>
      <c r="H33" s="4">
        <f>+D24</f>
        <v>483251</v>
      </c>
    </row>
    <row r="34" spans="3:8" ht="15" x14ac:dyDescent="0.35">
      <c r="C34" s="29" t="s">
        <v>163</v>
      </c>
      <c r="D34" s="4">
        <f t="shared" si="0"/>
        <v>1.04</v>
      </c>
      <c r="E34" s="34">
        <f t="shared" si="1"/>
        <v>1.1200000000000001</v>
      </c>
      <c r="G34" s="4" t="str">
        <f>+C25</f>
        <v>Total Expenditure</v>
      </c>
      <c r="H34" s="4">
        <f>+D25</f>
        <v>407117</v>
      </c>
    </row>
    <row r="35" spans="3:8" ht="15" x14ac:dyDescent="0.35">
      <c r="C35" s="30" t="s">
        <v>164</v>
      </c>
      <c r="D35" s="4">
        <f t="shared" si="0"/>
        <v>49.66</v>
      </c>
      <c r="E35" s="34">
        <f t="shared" si="1"/>
        <v>65.34</v>
      </c>
      <c r="G35" s="4" t="str">
        <f>+C28</f>
        <v>Tax</v>
      </c>
      <c r="H35" s="4">
        <f>+D28</f>
        <v>1722</v>
      </c>
    </row>
    <row r="36" spans="3:8" x14ac:dyDescent="0.35">
      <c r="G36" s="4" t="str">
        <f>+C29</f>
        <v>Net Profit</v>
      </c>
      <c r="H36" s="4">
        <f>+D29</f>
        <v>53223</v>
      </c>
    </row>
    <row r="37" spans="3:8" x14ac:dyDescent="0.35">
      <c r="G37" s="4" t="s">
        <v>166</v>
      </c>
      <c r="H37" s="4">
        <f>SUM(H33:H36)</f>
        <v>945313</v>
      </c>
    </row>
  </sheetData>
  <mergeCells count="1">
    <mergeCell ref="C3:H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6</xdr:col>
                    <xdr:colOff>241300</xdr:colOff>
                    <xdr:row>22</xdr:row>
                    <xdr:rowOff>184150</xdr:rowOff>
                  </from>
                  <to>
                    <xdr:col>6</xdr:col>
                    <xdr:colOff>908050</xdr:colOff>
                    <xdr:row>23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765823-F060-49B5-AEEF-569179A2D4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Homepage</vt:lpstr>
      <vt:lpstr>Balance Sheet</vt:lpstr>
      <vt:lpstr>P&amp;L</vt:lpstr>
      <vt:lpstr>Stock Data</vt:lpstr>
      <vt:lpstr>Descriptive</vt:lpstr>
      <vt:lpstr>Correlation &amp; Regression</vt:lpstr>
      <vt:lpstr>Forecasting of Sales</vt:lpstr>
      <vt:lpstr>Competitor Analysis</vt:lpstr>
      <vt:lpstr>Forecasting of Profits</vt:lpstr>
      <vt:lpstr>Dashboard</vt:lpstr>
      <vt:lpstr>Workings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 janav</dc:creator>
  <cp:lastModifiedBy>Rithanyaa RJ</cp:lastModifiedBy>
  <cp:lastPrinted>2023-10-26T19:18:35Z</cp:lastPrinted>
  <dcterms:created xsi:type="dcterms:W3CDTF">2023-10-26T12:04:26Z</dcterms:created>
  <dcterms:modified xsi:type="dcterms:W3CDTF">2024-06-05T22:35:09Z</dcterms:modified>
</cp:coreProperties>
</file>